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RnW project work\Excel Projects\Final Project\"/>
    </mc:Choice>
  </mc:AlternateContent>
  <xr:revisionPtr revIDLastSave="0" documentId="13_ncr:1_{23E7F955-7404-4748-93C3-79ACFFB9660D}" xr6:coauthVersionLast="47" xr6:coauthVersionMax="47" xr10:uidLastSave="{00000000-0000-0000-0000-000000000000}"/>
  <bookViews>
    <workbookView xWindow="-108" yWindow="-108" windowWidth="23256" windowHeight="12456" activeTab="2" xr2:uid="{00000000-000D-0000-FFFF-FFFF00000000}"/>
  </bookViews>
  <sheets>
    <sheet name="Project Instructions" sheetId="1" r:id="rId1"/>
    <sheet name="Dashboard" sheetId="9" r:id="rId2"/>
    <sheet name="Data_Analysis" sheetId="4" r:id="rId3"/>
    <sheet name="Raw Data" sheetId="2" r:id="rId4"/>
  </sheets>
  <definedNames>
    <definedName name="NativeTimeline_Date">#N/A</definedName>
    <definedName name="Projected_revenue">Data_Analysis!$D$10</definedName>
    <definedName name="Slicer_Category">#N/A</definedName>
    <definedName name="Slicer_Customer_Segment">#N/A</definedName>
    <definedName name="Slicer_Region">#N/A</definedName>
    <definedName name="Unit_price">Data_Analysis!$D$8</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47" i="4" l="1"/>
  <c r="D145" i="4"/>
  <c r="D34" i="4"/>
  <c r="D144" i="4"/>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D142" i="4"/>
  <c r="D141" i="4"/>
  <c r="D10" i="4"/>
  <c r="D7" i="4"/>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D35" i="4" l="1"/>
  <c r="D143" i="4"/>
  <c r="D33" i="4"/>
  <c r="Q5" i="2"/>
  <c r="R5" i="2" s="1"/>
  <c r="Q6" i="2"/>
  <c r="R6" i="2" s="1"/>
  <c r="Q7" i="2"/>
  <c r="R7" i="2" s="1"/>
  <c r="Q8" i="2"/>
  <c r="R8" i="2" s="1"/>
  <c r="Q9" i="2"/>
  <c r="R9" i="2" s="1"/>
  <c r="Q10" i="2"/>
  <c r="R10" i="2" s="1"/>
  <c r="Q11" i="2"/>
  <c r="R11" i="2" s="1"/>
  <c r="Q12" i="2"/>
  <c r="R12" i="2" s="1"/>
  <c r="Q13" i="2"/>
  <c r="R13" i="2" s="1"/>
  <c r="Q14" i="2"/>
  <c r="R14" i="2" s="1"/>
  <c r="Q15" i="2"/>
  <c r="R15" i="2" s="1"/>
  <c r="Q16" i="2"/>
  <c r="R16" i="2" s="1"/>
  <c r="Q17" i="2"/>
  <c r="R17" i="2" s="1"/>
  <c r="Q18" i="2"/>
  <c r="R18" i="2" s="1"/>
  <c r="Q19" i="2"/>
  <c r="R19" i="2" s="1"/>
  <c r="Q20" i="2"/>
  <c r="R20" i="2" s="1"/>
  <c r="Q21" i="2"/>
  <c r="R21" i="2" s="1"/>
  <c r="Q22" i="2"/>
  <c r="R22" i="2" s="1"/>
  <c r="Q23" i="2"/>
  <c r="R23" i="2" s="1"/>
  <c r="Q24" i="2"/>
  <c r="R24" i="2" s="1"/>
  <c r="Q25" i="2"/>
  <c r="R25" i="2" s="1"/>
  <c r="Q26" i="2"/>
  <c r="R26" i="2" s="1"/>
  <c r="Q27" i="2"/>
  <c r="R27" i="2" s="1"/>
  <c r="Q28" i="2"/>
  <c r="R28" i="2" s="1"/>
  <c r="Q29" i="2"/>
  <c r="R29" i="2" s="1"/>
  <c r="Q30" i="2"/>
  <c r="R30" i="2" s="1"/>
  <c r="Q31" i="2"/>
  <c r="R31" i="2" s="1"/>
  <c r="Q32" i="2"/>
  <c r="R32" i="2" s="1"/>
  <c r="Q33" i="2"/>
  <c r="R33" i="2" s="1"/>
  <c r="Q34" i="2"/>
  <c r="R34" i="2" s="1"/>
  <c r="Q35" i="2"/>
  <c r="R35" i="2" s="1"/>
  <c r="Q36" i="2"/>
  <c r="R36" i="2" s="1"/>
  <c r="Q37" i="2"/>
  <c r="R37" i="2" s="1"/>
  <c r="Q38" i="2"/>
  <c r="R38" i="2" s="1"/>
  <c r="Q39" i="2"/>
  <c r="R39" i="2" s="1"/>
  <c r="Q40" i="2"/>
  <c r="R40" i="2" s="1"/>
  <c r="Q41" i="2"/>
  <c r="R41" i="2" s="1"/>
  <c r="Q42" i="2"/>
  <c r="R42" i="2" s="1"/>
  <c r="Q43" i="2"/>
  <c r="R43" i="2" s="1"/>
  <c r="Q44" i="2"/>
  <c r="R44" i="2" s="1"/>
  <c r="Q45" i="2"/>
  <c r="R45" i="2" s="1"/>
  <c r="Q46" i="2"/>
  <c r="R46" i="2" s="1"/>
  <c r="Q47" i="2"/>
  <c r="R47" i="2" s="1"/>
  <c r="Q48" i="2"/>
  <c r="R48" i="2" s="1"/>
  <c r="Q49" i="2"/>
  <c r="R49" i="2" s="1"/>
  <c r="Q50" i="2"/>
  <c r="R50" i="2" s="1"/>
  <c r="Q51" i="2"/>
  <c r="R51" i="2" s="1"/>
  <c r="Q52" i="2"/>
  <c r="R52" i="2" s="1"/>
  <c r="Q53" i="2"/>
  <c r="R53" i="2" s="1"/>
  <c r="Q54" i="2"/>
  <c r="R54" i="2" s="1"/>
  <c r="Q55" i="2"/>
  <c r="R55" i="2" s="1"/>
  <c r="Q56" i="2"/>
  <c r="R56" i="2" s="1"/>
  <c r="Q57" i="2"/>
  <c r="R57" i="2" s="1"/>
  <c r="Q58" i="2"/>
  <c r="R58" i="2" s="1"/>
  <c r="Q59" i="2"/>
  <c r="R59" i="2" s="1"/>
  <c r="Q60" i="2"/>
  <c r="R60" i="2" s="1"/>
  <c r="Q61" i="2"/>
  <c r="R61" i="2" s="1"/>
  <c r="Q62" i="2"/>
  <c r="R62" i="2" s="1"/>
  <c r="Q63" i="2"/>
  <c r="R63" i="2" s="1"/>
  <c r="Q64" i="2"/>
  <c r="R64" i="2" s="1"/>
  <c r="Q65" i="2"/>
  <c r="R65" i="2" s="1"/>
  <c r="Q66" i="2"/>
  <c r="R66" i="2" s="1"/>
  <c r="Q67" i="2"/>
  <c r="R67" i="2" s="1"/>
  <c r="Q68" i="2"/>
  <c r="R68" i="2" s="1"/>
  <c r="Q69" i="2"/>
  <c r="R69" i="2" s="1"/>
  <c r="Q70" i="2"/>
  <c r="R70" i="2" s="1"/>
  <c r="Q71" i="2"/>
  <c r="R71" i="2" s="1"/>
  <c r="Q72" i="2"/>
  <c r="R72" i="2" s="1"/>
  <c r="Q73" i="2"/>
  <c r="R73" i="2" s="1"/>
  <c r="Q74" i="2"/>
  <c r="R74" i="2" s="1"/>
  <c r="Q75" i="2"/>
  <c r="R75" i="2" s="1"/>
  <c r="Q76" i="2"/>
  <c r="R76" i="2" s="1"/>
  <c r="Q77" i="2"/>
  <c r="R77" i="2" s="1"/>
  <c r="Q78" i="2"/>
  <c r="R78" i="2" s="1"/>
  <c r="Q79" i="2"/>
  <c r="R79" i="2" s="1"/>
  <c r="Q80" i="2"/>
  <c r="R80" i="2" s="1"/>
  <c r="Q81" i="2"/>
  <c r="R81" i="2" s="1"/>
  <c r="Q82" i="2"/>
  <c r="R82" i="2" s="1"/>
  <c r="Q83" i="2"/>
  <c r="R83" i="2" s="1"/>
  <c r="Q84" i="2"/>
  <c r="R84" i="2" s="1"/>
  <c r="Q85" i="2"/>
  <c r="R85" i="2" s="1"/>
  <c r="Q86" i="2"/>
  <c r="R86" i="2" s="1"/>
  <c r="Q87" i="2"/>
  <c r="R87" i="2" s="1"/>
  <c r="Q88" i="2"/>
  <c r="R88" i="2" s="1"/>
  <c r="Q89" i="2"/>
  <c r="R89" i="2" s="1"/>
  <c r="Q90" i="2"/>
  <c r="R90" i="2" s="1"/>
  <c r="Q91" i="2"/>
  <c r="R91" i="2" s="1"/>
  <c r="Q92" i="2"/>
  <c r="R92" i="2" s="1"/>
  <c r="Q93" i="2"/>
  <c r="R93" i="2" s="1"/>
  <c r="Q94" i="2"/>
  <c r="R94" i="2" s="1"/>
  <c r="Q95" i="2"/>
  <c r="R95" i="2" s="1"/>
  <c r="Q96" i="2"/>
  <c r="R96" i="2" s="1"/>
  <c r="Q97" i="2"/>
  <c r="R97" i="2" s="1"/>
  <c r="Q98" i="2"/>
  <c r="R98" i="2" s="1"/>
  <c r="Q99" i="2"/>
  <c r="R99" i="2" s="1"/>
  <c r="Q100" i="2"/>
  <c r="R100" i="2" s="1"/>
  <c r="Q101" i="2"/>
  <c r="R101" i="2" s="1"/>
  <c r="Q102" i="2"/>
  <c r="R102" i="2" s="1"/>
  <c r="Q103" i="2"/>
  <c r="R103" i="2" s="1"/>
  <c r="Q104" i="2"/>
  <c r="R104" i="2" s="1"/>
  <c r="Q105" i="2"/>
  <c r="R105" i="2" s="1"/>
  <c r="Q106" i="2"/>
  <c r="R106" i="2" s="1"/>
  <c r="Q107" i="2"/>
  <c r="R107" i="2" s="1"/>
  <c r="Q108" i="2"/>
  <c r="R108" i="2" s="1"/>
  <c r="Q109" i="2"/>
  <c r="R109" i="2" s="1"/>
  <c r="Q110" i="2"/>
  <c r="R110" i="2" s="1"/>
  <c r="Q111" i="2"/>
  <c r="R111" i="2" s="1"/>
  <c r="Q112" i="2"/>
  <c r="R112" i="2" s="1"/>
  <c r="Q113" i="2"/>
  <c r="R113" i="2" s="1"/>
  <c r="Q114" i="2"/>
  <c r="R114" i="2" s="1"/>
  <c r="Q115" i="2"/>
  <c r="R115" i="2" s="1"/>
  <c r="Q116" i="2"/>
  <c r="R116" i="2" s="1"/>
  <c r="Q117" i="2"/>
  <c r="R117" i="2" s="1"/>
  <c r="Q118" i="2"/>
  <c r="R118" i="2" s="1"/>
  <c r="Q119" i="2"/>
  <c r="R119" i="2" s="1"/>
  <c r="Q120" i="2"/>
  <c r="R120" i="2" s="1"/>
  <c r="Q121" i="2"/>
  <c r="R121" i="2" s="1"/>
  <c r="Q122" i="2"/>
  <c r="R122" i="2" s="1"/>
  <c r="Q123" i="2"/>
  <c r="R123" i="2" s="1"/>
  <c r="Q124" i="2"/>
  <c r="R124" i="2" s="1"/>
  <c r="Q125" i="2"/>
  <c r="R125" i="2" s="1"/>
  <c r="Q126" i="2"/>
  <c r="R126" i="2" s="1"/>
  <c r="Q127" i="2"/>
  <c r="R127" i="2" s="1"/>
  <c r="Q128" i="2"/>
  <c r="R128" i="2" s="1"/>
  <c r="Q129" i="2"/>
  <c r="R129" i="2" s="1"/>
  <c r="Q130" i="2"/>
  <c r="R130" i="2" s="1"/>
  <c r="Q131" i="2"/>
  <c r="R131" i="2" s="1"/>
  <c r="Q132" i="2"/>
  <c r="R132" i="2" s="1"/>
  <c r="Q133" i="2"/>
  <c r="R133" i="2" s="1"/>
  <c r="Q134" i="2"/>
  <c r="R134" i="2" s="1"/>
  <c r="Q135" i="2"/>
  <c r="R135" i="2" s="1"/>
  <c r="Q136" i="2"/>
  <c r="R136" i="2" s="1"/>
  <c r="Q137" i="2"/>
  <c r="R137" i="2" s="1"/>
  <c r="Q138" i="2"/>
  <c r="R138" i="2" s="1"/>
  <c r="Q139" i="2"/>
  <c r="R139" i="2" s="1"/>
  <c r="Q140" i="2"/>
  <c r="R140" i="2" s="1"/>
  <c r="Q141" i="2"/>
  <c r="R141" i="2" s="1"/>
  <c r="Q142" i="2"/>
  <c r="R142" i="2" s="1"/>
  <c r="Q143" i="2"/>
  <c r="R143" i="2" s="1"/>
  <c r="Q144" i="2"/>
  <c r="R144" i="2" s="1"/>
  <c r="Q145" i="2"/>
  <c r="R145" i="2" s="1"/>
  <c r="Q146" i="2"/>
  <c r="R146" i="2" s="1"/>
  <c r="Q147" i="2"/>
  <c r="R147" i="2" s="1"/>
  <c r="Q148" i="2"/>
  <c r="R148" i="2" s="1"/>
  <c r="Q149" i="2"/>
  <c r="R149" i="2" s="1"/>
  <c r="Q150" i="2"/>
  <c r="R150" i="2" s="1"/>
  <c r="Q151" i="2"/>
  <c r="R151" i="2" s="1"/>
  <c r="Q152" i="2"/>
  <c r="R152" i="2" s="1"/>
  <c r="Q153" i="2"/>
  <c r="R153" i="2" s="1"/>
  <c r="Q154" i="2"/>
  <c r="R154" i="2" s="1"/>
  <c r="Q155" i="2"/>
  <c r="R155" i="2" s="1"/>
  <c r="Q156" i="2"/>
  <c r="R156" i="2" s="1"/>
  <c r="Q157" i="2"/>
  <c r="R157" i="2" s="1"/>
  <c r="Q158" i="2"/>
  <c r="R158" i="2" s="1"/>
  <c r="Q159" i="2"/>
  <c r="R159" i="2" s="1"/>
  <c r="Q160" i="2"/>
  <c r="R160" i="2" s="1"/>
  <c r="Q161" i="2"/>
  <c r="R161" i="2" s="1"/>
  <c r="Q162" i="2"/>
  <c r="R162" i="2" s="1"/>
  <c r="Q163" i="2"/>
  <c r="R163" i="2" s="1"/>
  <c r="Q164" i="2"/>
  <c r="R164" i="2" s="1"/>
  <c r="Q165" i="2"/>
  <c r="R165" i="2" s="1"/>
  <c r="Q166" i="2"/>
  <c r="R166" i="2" s="1"/>
  <c r="Q167" i="2"/>
  <c r="R167" i="2" s="1"/>
  <c r="Q168" i="2"/>
  <c r="R168" i="2" s="1"/>
  <c r="Q169" i="2"/>
  <c r="R169" i="2" s="1"/>
  <c r="Q170" i="2"/>
  <c r="R170" i="2" s="1"/>
  <c r="Q171" i="2"/>
  <c r="R171" i="2" s="1"/>
  <c r="Q172" i="2"/>
  <c r="R172" i="2" s="1"/>
  <c r="Q173" i="2"/>
  <c r="R173" i="2" s="1"/>
  <c r="Q174" i="2"/>
  <c r="R174" i="2" s="1"/>
  <c r="Q175" i="2"/>
  <c r="R175" i="2" s="1"/>
  <c r="Q176" i="2"/>
  <c r="R176" i="2" s="1"/>
  <c r="Q177" i="2"/>
  <c r="R177" i="2" s="1"/>
  <c r="Q178" i="2"/>
  <c r="R178" i="2" s="1"/>
  <c r="Q179" i="2"/>
  <c r="R179" i="2" s="1"/>
  <c r="Q180" i="2"/>
  <c r="R180" i="2" s="1"/>
  <c r="Q181" i="2"/>
  <c r="R181" i="2" s="1"/>
  <c r="Q182" i="2"/>
  <c r="R182" i="2" s="1"/>
  <c r="Q183" i="2"/>
  <c r="R183" i="2" s="1"/>
  <c r="Q184" i="2"/>
  <c r="R184" i="2" s="1"/>
  <c r="Q185" i="2"/>
  <c r="R185" i="2" s="1"/>
  <c r="Q186" i="2"/>
  <c r="R186" i="2" s="1"/>
  <c r="Q187" i="2"/>
  <c r="R187" i="2" s="1"/>
  <c r="Q188" i="2"/>
  <c r="R188" i="2" s="1"/>
  <c r="Q189" i="2"/>
  <c r="R189" i="2" s="1"/>
  <c r="Q190" i="2"/>
  <c r="R190" i="2" s="1"/>
  <c r="Q191" i="2"/>
  <c r="R191" i="2" s="1"/>
  <c r="Q192" i="2"/>
  <c r="R192" i="2" s="1"/>
  <c r="Q193" i="2"/>
  <c r="R193" i="2" s="1"/>
  <c r="Q194" i="2"/>
  <c r="R194" i="2" s="1"/>
  <c r="Q195" i="2"/>
  <c r="R195" i="2" s="1"/>
  <c r="Q196" i="2"/>
  <c r="R196" i="2" s="1"/>
  <c r="Q197" i="2"/>
  <c r="R197" i="2" s="1"/>
  <c r="Q198" i="2"/>
  <c r="R198" i="2" s="1"/>
  <c r="Q199" i="2"/>
  <c r="R199" i="2" s="1"/>
  <c r="Q200" i="2"/>
  <c r="R200" i="2" s="1"/>
  <c r="Q201" i="2"/>
  <c r="R201" i="2" s="1"/>
  <c r="Q202" i="2"/>
  <c r="R202" i="2" s="1"/>
  <c r="Q203" i="2"/>
  <c r="R203" i="2" s="1"/>
  <c r="Q204" i="2"/>
  <c r="R204" i="2" s="1"/>
  <c r="Q205" i="2"/>
  <c r="R205" i="2" s="1"/>
  <c r="Q206" i="2"/>
  <c r="R206" i="2" s="1"/>
  <c r="Q207" i="2"/>
  <c r="R207" i="2" s="1"/>
  <c r="Q208" i="2"/>
  <c r="R208" i="2" s="1"/>
  <c r="Q209" i="2"/>
  <c r="R209" i="2" s="1"/>
  <c r="Q210" i="2"/>
  <c r="R210" i="2" s="1"/>
  <c r="Q211" i="2"/>
  <c r="R211" i="2" s="1"/>
  <c r="Q212" i="2"/>
  <c r="R212" i="2" s="1"/>
  <c r="Q213" i="2"/>
  <c r="R213" i="2" s="1"/>
  <c r="Q214" i="2"/>
  <c r="R214" i="2" s="1"/>
  <c r="Q215" i="2"/>
  <c r="R215" i="2" s="1"/>
  <c r="Q216" i="2"/>
  <c r="R216" i="2" s="1"/>
  <c r="Q217" i="2"/>
  <c r="R217" i="2" s="1"/>
  <c r="Q218" i="2"/>
  <c r="R218" i="2" s="1"/>
  <c r="Q219" i="2"/>
  <c r="R219" i="2" s="1"/>
  <c r="Q220" i="2"/>
  <c r="R220" i="2" s="1"/>
  <c r="Q221" i="2"/>
  <c r="R221" i="2" s="1"/>
  <c r="Q222" i="2"/>
  <c r="R222" i="2" s="1"/>
  <c r="Q223" i="2"/>
  <c r="R223" i="2" s="1"/>
  <c r="Q224" i="2"/>
  <c r="R224" i="2" s="1"/>
  <c r="Q225" i="2"/>
  <c r="R225" i="2" s="1"/>
  <c r="Q226" i="2"/>
  <c r="R226" i="2" s="1"/>
  <c r="Q227" i="2"/>
  <c r="R227" i="2" s="1"/>
  <c r="Q228" i="2"/>
  <c r="R228" i="2" s="1"/>
  <c r="Q229" i="2"/>
  <c r="R229" i="2" s="1"/>
  <c r="Q230" i="2"/>
  <c r="R230" i="2" s="1"/>
  <c r="Q231" i="2"/>
  <c r="R231" i="2" s="1"/>
  <c r="Q232" i="2"/>
  <c r="R232" i="2" s="1"/>
  <c r="Q233" i="2"/>
  <c r="R233" i="2" s="1"/>
  <c r="Q234" i="2"/>
  <c r="R234" i="2" s="1"/>
  <c r="Q235" i="2"/>
  <c r="R235" i="2" s="1"/>
  <c r="Q236" i="2"/>
  <c r="R236" i="2" s="1"/>
  <c r="Q237" i="2"/>
  <c r="R237" i="2" s="1"/>
  <c r="Q238" i="2"/>
  <c r="R238" i="2" s="1"/>
  <c r="Q239" i="2"/>
  <c r="R239" i="2" s="1"/>
  <c r="Q240" i="2"/>
  <c r="R240" i="2" s="1"/>
  <c r="Q241" i="2"/>
  <c r="R241" i="2" s="1"/>
  <c r="Q242" i="2"/>
  <c r="R242" i="2" s="1"/>
  <c r="Q243" i="2"/>
  <c r="R243" i="2" s="1"/>
  <c r="Q244" i="2"/>
  <c r="R244" i="2" s="1"/>
  <c r="Q245" i="2"/>
  <c r="R245" i="2" s="1"/>
  <c r="Q246" i="2"/>
  <c r="R246" i="2" s="1"/>
  <c r="Q247" i="2"/>
  <c r="R247" i="2" s="1"/>
  <c r="Q248" i="2"/>
  <c r="R248" i="2" s="1"/>
  <c r="Q249" i="2"/>
  <c r="R249" i="2" s="1"/>
  <c r="Q250" i="2"/>
  <c r="R250" i="2" s="1"/>
  <c r="Q251" i="2"/>
  <c r="R251" i="2" s="1"/>
  <c r="Q252" i="2"/>
  <c r="R252" i="2" s="1"/>
  <c r="Q253" i="2"/>
  <c r="R253" i="2" s="1"/>
  <c r="Q254" i="2"/>
  <c r="R254" i="2" s="1"/>
</calcChain>
</file>

<file path=xl/sharedStrings.xml><?xml version="1.0" encoding="utf-8"?>
<sst xmlns="http://schemas.openxmlformats.org/spreadsheetml/2006/main" count="2413" uniqueCount="484">
  <si>
    <t>PR. Final Project - "Data Intelligence Dashboard"</t>
  </si>
  <si>
    <r>
      <rPr>
        <b/>
        <sz val="11"/>
        <color theme="1"/>
        <rFont val="Calibri"/>
        <family val="2"/>
      </rPr>
      <t xml:space="preserve">Dataset: </t>
    </r>
    <r>
      <rPr>
        <sz val="11"/>
        <color theme="1"/>
        <rFont val="Calibri"/>
        <family val="2"/>
      </rPr>
      <t xml:space="preserve">Use the 'Final Project Dataset' sheet containing 200+ records of customer transactions.
</t>
    </r>
    <r>
      <rPr>
        <b/>
        <sz val="11"/>
        <color theme="1"/>
        <rFont val="Calibri"/>
        <family val="2"/>
      </rPr>
      <t xml:space="preserve">Objective: </t>
    </r>
    <r>
      <rPr>
        <sz val="11"/>
        <color theme="1"/>
        <rFont val="Calibri"/>
        <family val="2"/>
      </rPr>
      <t xml:space="preserve">
Create a full-fledged analysis and reporting solution using Excel to analyze customer transactions, find insights, 
and build visualizations and dashboards.
</t>
    </r>
    <r>
      <rPr>
        <b/>
        <sz val="11"/>
        <color rgb="FF367526"/>
        <rFont val="Calibri"/>
        <family val="2"/>
      </rPr>
      <t xml:space="preserve">Key Topics to Implement:
</t>
    </r>
    <r>
      <rPr>
        <sz val="11"/>
        <color rgb="FF38761D"/>
        <rFont val="Calibri"/>
        <family val="2"/>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family val="2"/>
      </rPr>
      <t xml:space="preserve">
</t>
    </r>
    <r>
      <rPr>
        <b/>
        <sz val="11"/>
        <color theme="1"/>
        <rFont val="Calibri"/>
        <family val="2"/>
      </rPr>
      <t xml:space="preserve">Deliverable:
</t>
    </r>
    <r>
      <rPr>
        <sz val="11"/>
        <color theme="1"/>
        <rFont val="Calibri"/>
        <family val="2"/>
      </rPr>
      <t>- Well-structured workbook with multiple sheets (Raw Data, Analysis, Visualizations, Dashboard)
- Summary Insights with key metrics: Total Revenue, Top Customers, Most Sold Products, Regional Sales
- Use of all required formulas and functions as listed above</t>
    </r>
  </si>
  <si>
    <t>Linear Regression for Total Sales VS Customer Tenure</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</si>
  <si>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</si>
  <si>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</si>
  <si>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</si>
  <si>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</si>
  <si>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</si>
  <si>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</si>
  <si>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</si>
  <si>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</si>
  <si>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</si>
  <si>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</si>
  <si>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</si>
  <si>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</si>
  <si>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</si>
  <si>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</si>
  <si>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</si>
  <si>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</si>
  <si>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</si>
  <si>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</si>
  <si>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</si>
  <si>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</si>
  <si>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</si>
  <si>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</si>
  <si>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</si>
  <si>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Transaction_ID</t>
  </si>
  <si>
    <t>Date</t>
  </si>
  <si>
    <t>Customer_ID</t>
  </si>
  <si>
    <t>Cust_ID_No.</t>
  </si>
  <si>
    <t>Customer_Name</t>
  </si>
  <si>
    <t>Product_ID</t>
  </si>
  <si>
    <t>Product_Name</t>
  </si>
  <si>
    <t>Category</t>
  </si>
  <si>
    <t>Quantity</t>
  </si>
  <si>
    <t>Unit_Price</t>
  </si>
  <si>
    <t>Payment_Method</t>
  </si>
  <si>
    <t>Region</t>
  </si>
  <si>
    <t>Customer_Segment</t>
  </si>
  <si>
    <t>Customer_Since</t>
  </si>
  <si>
    <t>Total_Amount</t>
  </si>
  <si>
    <t>Timestamp</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</si>
  <si>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</si>
  <si>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</si>
  <si>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</si>
  <si>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</si>
  <si>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</si>
  <si>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</si>
  <si>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</si>
  <si>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</si>
  <si>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</si>
  <si>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</si>
  <si>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</si>
  <si>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</si>
  <si>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</si>
  <si>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</si>
  <si>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</si>
  <si>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</si>
  <si>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</si>
  <si>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</si>
  <si>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</si>
  <si>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</si>
  <si>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</si>
  <si>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</si>
  <si>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</si>
  <si>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</si>
  <si>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</si>
  <si>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</si>
  <si>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</si>
  <si>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</si>
  <si>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</si>
  <si>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</si>
  <si>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</si>
  <si>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</si>
  <si>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</si>
  <si>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</si>
  <si>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</si>
  <si>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</si>
  <si>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</si>
  <si>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</si>
  <si>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</si>
  <si>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</si>
  <si>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</si>
  <si>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</si>
  <si>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</si>
  <si>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</si>
  <si>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</si>
  <si>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</si>
  <si>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</si>
  <si>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</si>
  <si>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</si>
  <si>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</si>
  <si>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</si>
  <si>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</si>
  <si>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</si>
  <si>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</si>
  <si>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</si>
  <si>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</si>
  <si>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</si>
  <si>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</si>
  <si>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</si>
  <si>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</si>
  <si>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</si>
  <si>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</si>
  <si>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</si>
  <si>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</si>
  <si>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</si>
  <si>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</si>
  <si>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</si>
  <si>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</si>
  <si>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</si>
  <si>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</si>
  <si>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</si>
  <si>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</si>
  <si>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</si>
  <si>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</si>
  <si>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</si>
  <si>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</si>
  <si>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</si>
  <si>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</si>
  <si>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</si>
  <si>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</si>
  <si>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</si>
  <si>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</si>
  <si>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</si>
  <si>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</si>
  <si>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</si>
  <si>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</si>
  <si>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</si>
  <si>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</si>
  <si>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</si>
  <si>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</si>
  <si>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</si>
  <si>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</si>
  <si>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</si>
  <si>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</si>
  <si>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</si>
  <si>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</si>
  <si>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</si>
  <si>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</si>
  <si>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</si>
  <si>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</si>
  <si>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</si>
  <si>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</si>
  <si>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</si>
  <si>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</si>
  <si>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</si>
  <si>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</si>
  <si>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</si>
  <si>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</si>
  <si>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</si>
  <si>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</si>
  <si>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</si>
  <si>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</si>
  <si>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</si>
  <si>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</si>
  <si>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</si>
  <si>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</si>
  <si>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</si>
  <si>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</si>
  <si>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</si>
  <si>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</si>
  <si>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</si>
  <si>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</si>
  <si>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</si>
  <si>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</si>
  <si>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</si>
  <si>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</si>
  <si>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</si>
  <si>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</si>
  <si>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</si>
  <si>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</si>
  <si>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</si>
  <si>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</si>
  <si>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</si>
  <si>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</si>
  <si>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</si>
  <si>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</si>
  <si>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</si>
  <si>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</si>
  <si>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</si>
  <si>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</si>
  <si>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</si>
  <si>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</si>
  <si>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</si>
  <si>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</si>
  <si>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</si>
  <si>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</si>
  <si>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</si>
  <si>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</si>
  <si>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</si>
  <si>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</si>
  <si>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</si>
  <si>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</si>
  <si>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</si>
  <si>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</si>
  <si>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</si>
  <si>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</si>
  <si>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</si>
  <si>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</si>
  <si>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</si>
  <si>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</si>
  <si>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</si>
  <si>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</si>
  <si>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</si>
  <si>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</si>
  <si>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</si>
  <si>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</si>
  <si>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</si>
  <si>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</si>
  <si>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</si>
  <si>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</si>
  <si>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</si>
  <si>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</si>
  <si>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</si>
  <si>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</si>
  <si>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</si>
  <si>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</si>
  <si>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</si>
  <si>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</si>
  <si>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</si>
  <si>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</si>
  <si>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</si>
  <si>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</si>
  <si>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</si>
  <si>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</si>
  <si>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</si>
  <si>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</si>
  <si>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</si>
  <si>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</si>
  <si>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</si>
  <si>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</si>
  <si>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</si>
  <si>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</si>
  <si>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</si>
  <si>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</si>
  <si>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</si>
  <si>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</si>
  <si>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</si>
  <si>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</si>
  <si>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</si>
  <si>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</si>
  <si>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</si>
  <si>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</si>
  <si>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</si>
  <si>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</si>
  <si>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</si>
  <si>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</si>
  <si>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</si>
  <si>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</si>
  <si>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</si>
  <si>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</si>
  <si>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</si>
  <si>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</si>
  <si>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</si>
  <si>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</si>
  <si>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</si>
  <si>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</si>
  <si>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</si>
  <si>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</si>
  <si>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</si>
  <si>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</si>
  <si>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</si>
  <si>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</si>
  <si>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</si>
  <si>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</si>
  <si>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</si>
  <si>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</si>
  <si>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</si>
  <si>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</si>
  <si>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</si>
  <si>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</si>
  <si>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</si>
  <si>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</si>
  <si>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</si>
  <si>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</si>
  <si>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</si>
  <si>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</si>
  <si>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</si>
  <si>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</si>
  <si>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</si>
  <si>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</si>
  <si>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</si>
  <si>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</si>
  <si>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</si>
  <si>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</si>
  <si>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</si>
  <si>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</si>
  <si>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</si>
  <si>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</si>
  <si>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</si>
  <si>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</si>
  <si>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</si>
  <si>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</si>
  <si>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</si>
  <si>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</si>
  <si>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</si>
  <si>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</si>
  <si>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</si>
  <si>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</si>
  <si>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</si>
  <si>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</si>
  <si>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</si>
  <si>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</si>
  <si>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</si>
  <si>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</si>
  <si>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</si>
  <si>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</si>
  <si>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</si>
  <si>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</si>
  <si>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</si>
  <si>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</si>
  <si>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</si>
  <si>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</si>
  <si>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</si>
  <si>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</si>
  <si>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</si>
  <si>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</si>
  <si>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</si>
  <si>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</si>
  <si>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</si>
  <si>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</si>
  <si>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</si>
  <si>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</si>
  <si>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</si>
  <si>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</si>
  <si>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</si>
  <si>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</si>
  <si>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</si>
  <si>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</si>
  <si>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</si>
  <si>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</si>
  <si>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</si>
  <si>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</si>
  <si>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</si>
  <si>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</si>
  <si>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</si>
  <si>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</si>
  <si>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</si>
  <si>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</si>
  <si>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</si>
  <si>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</si>
  <si>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</si>
  <si>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</si>
  <si>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</si>
  <si>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</si>
  <si>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</si>
  <si>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</si>
  <si>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</si>
  <si>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</si>
  <si>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</si>
  <si>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</si>
  <si>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</si>
  <si>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</si>
  <si>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</si>
  <si>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</si>
  <si>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</si>
  <si>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</si>
  <si>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</si>
  <si>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</si>
  <si>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</si>
  <si>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</si>
  <si>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</si>
  <si>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</si>
  <si>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</si>
  <si>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</si>
  <si>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</si>
  <si>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</si>
  <si>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</si>
  <si>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</si>
  <si>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</si>
  <si>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</si>
  <si>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</si>
  <si>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</si>
  <si>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</si>
  <si>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</si>
  <si>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</si>
  <si>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</si>
  <si>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</si>
  <si>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</si>
  <si>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</si>
  <si>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</si>
  <si>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</si>
  <si>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</si>
  <si>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</si>
  <si>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</si>
  <si>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</si>
  <si>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</si>
  <si>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</si>
  <si>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</si>
  <si>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</si>
  <si>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</si>
  <si>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</si>
  <si>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</si>
  <si>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</si>
  <si>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</si>
  <si>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</si>
  <si>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</si>
  <si>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</si>
  <si>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</si>
  <si>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</si>
  <si>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</si>
  <si>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</si>
  <si>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</si>
  <si>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</si>
  <si>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</si>
  <si>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</si>
  <si>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</si>
  <si>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</si>
  <si>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</si>
  <si>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</si>
  <si>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</si>
  <si>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</si>
  <si>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</si>
  <si>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</si>
  <si>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</si>
  <si>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</si>
  <si>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</si>
  <si>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</si>
  <si>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</si>
  <si>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</si>
  <si>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</si>
  <si>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</si>
  <si>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</si>
  <si>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</si>
  <si>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</si>
  <si>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</si>
  <si>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Most frequently bought product</t>
  </si>
  <si>
    <t>End_of_month</t>
  </si>
  <si>
    <t>Customer_tenure(Months)</t>
  </si>
  <si>
    <t>Product Name</t>
  </si>
  <si>
    <t>Product ID</t>
  </si>
  <si>
    <t>Unit Price</t>
  </si>
  <si>
    <t>Projected Quantity</t>
  </si>
  <si>
    <t>Projected Revenue</t>
  </si>
  <si>
    <t>What-If Analysis</t>
  </si>
  <si>
    <t>Current_Price</t>
  </si>
  <si>
    <t>Festive_Discount</t>
  </si>
  <si>
    <t>Current price</t>
  </si>
  <si>
    <t>Festive discount</t>
  </si>
  <si>
    <t>Scenario Summary</t>
  </si>
  <si>
    <t>Changing Cells:</t>
  </si>
  <si>
    <t>Current Values:</t>
  </si>
  <si>
    <t>Result Cells:</t>
  </si>
  <si>
    <t>Unit_price</t>
  </si>
  <si>
    <t>Projected_revenue</t>
  </si>
  <si>
    <t>Total Sales</t>
  </si>
  <si>
    <t>Customer Segment</t>
  </si>
  <si>
    <t>Total Sales by category and segment</t>
  </si>
  <si>
    <t>Apr</t>
  </si>
  <si>
    <t>May</t>
  </si>
  <si>
    <t>Jun</t>
  </si>
  <si>
    <t>Jul</t>
  </si>
  <si>
    <t>Aug</t>
  </si>
  <si>
    <t>Sep</t>
  </si>
  <si>
    <t>Oct</t>
  </si>
  <si>
    <t>Nov</t>
  </si>
  <si>
    <t>Dec</t>
  </si>
  <si>
    <t>Months</t>
  </si>
  <si>
    <t>Count of Transaction_ID</t>
  </si>
  <si>
    <t>Count</t>
  </si>
  <si>
    <t>Payment Mode</t>
  </si>
  <si>
    <t>Payment Modes</t>
  </si>
  <si>
    <t>Monthly Sales by Category</t>
  </si>
  <si>
    <t>Qty Sold</t>
  </si>
  <si>
    <t>Product Qty Sold</t>
  </si>
  <si>
    <t>Region wise customer segment</t>
  </si>
  <si>
    <t>Total Revenue</t>
  </si>
  <si>
    <t>Category wise sales</t>
  </si>
  <si>
    <t>KPIs</t>
  </si>
  <si>
    <t>Total qty sold</t>
  </si>
  <si>
    <t>Most used payment type</t>
  </si>
  <si>
    <t>Helper_col_pmt</t>
  </si>
  <si>
    <t>Helper_col_prod_name</t>
  </si>
  <si>
    <t>Most Used Payment</t>
  </si>
  <si>
    <t>Highest sale Region</t>
  </si>
  <si>
    <t>Helper_col_region</t>
  </si>
  <si>
    <t>Region wise sales</t>
  </si>
  <si>
    <t>Product Wise Revenue</t>
  </si>
  <si>
    <t>Top Transaction region</t>
  </si>
  <si>
    <t>Top Transaction Region</t>
  </si>
  <si>
    <t>Grand Total</t>
  </si>
  <si>
    <t>Top Performing Segment</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</si>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</sst>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yyyy\-mm\-dd"/>
    <numFmt numFmtId="165" formatCode="_(&quot;$&quot;* #,##0.0_);_(&quot;$&quot;* \(#,##0.0\);_(&quot;$&quot;* &quot;-&quot;??_);_(@_)"/>
  </numFmts>
  <fonts count="16" x14ac:knownFonts="1">
    <font>
      <sz val="11"/>
      <color theme="1"/>
      <name val="Calibri"/>
      <scheme val="minor"/>
    </font>
    <font>
      <b/>
      <sz val="11"/>
      <color theme="1"/>
      <name val="Calibri"/>
      <family val="2"/>
    </font>
    <font>
      <sz val="11"/>
      <color theme="1"/>
      <name val="Calibri"/>
      <family val="2"/>
      <scheme val="minor"/>
    </font>
    <font>
      <sz val="11"/>
      <color theme="1"/>
      <name val="Calibri"/>
      <family val="2"/>
    </font>
    <font>
      <b/>
      <sz val="11"/>
      <color theme="1"/>
      <name val="Calibri"/>
      <family val="2"/>
      <scheme val="minor"/>
    </font>
    <font>
      <b/>
      <sz val="11"/>
      <color rgb="FF367526"/>
      <name val="Calibri"/>
      <family val="2"/>
    </font>
    <font>
      <sz val="11"/>
      <color rgb="FF38761D"/>
      <name val="Calibri"/>
      <family val="2"/>
    </font>
    <font>
      <b/>
      <sz val="11"/>
      <color theme="1"/>
      <name val="Calibri"/>
      <family val="2"/>
      <scheme val="minor"/>
    </font>
    <font>
      <i/>
      <sz val="11"/>
      <color theme="1"/>
      <name val="Calibri"/>
      <family val="2"/>
      <scheme val="minor"/>
    </font>
    <font>
      <b/>
      <sz val="20"/>
      <color theme="0"/>
      <name val="Calibri"/>
      <family val="2"/>
      <scheme val="minor"/>
    </font>
    <font>
      <b/>
      <sz val="11"/>
      <color theme="1"/>
      <name val="Calibri"/>
      <scheme val="minor"/>
    </font>
    <font>
      <sz val="8"/>
      <name val="Calibri"/>
      <scheme val="minor"/>
    </font>
    <font>
      <sz val="8"/>
      <color theme="1"/>
      <name val="Calibri"/>
      <family val="2"/>
      <scheme val="minor"/>
    </font>
    <font>
      <sz val="11"/>
      <color theme="3"/>
      <name val="Calibri"/>
      <family val="2"/>
      <scheme val="minor"/>
    </font>
    <font>
      <i/>
      <sz val="11"/>
      <color theme="3"/>
      <name val="Calibri"/>
      <family val="2"/>
      <scheme val="minor"/>
    </font>
    <font>
      <sz val="11"/>
      <color theme="1"/>
      <name val="Calibri"/>
      <scheme val="minor"/>
    </font>
  </fonts>
  <fills count="8">
    <fill>
      <patternFill patternType="none"/>
    </fill>
    <fill>
      <patternFill patternType="gray125"/>
    </fill>
    <fill>
      <patternFill patternType="solid">
        <fgColor rgb="FFFFF2CC"/>
        <bgColor rgb="FFFFF2CC"/>
      </patternFill>
    </fill>
    <fill>
      <patternFill patternType="solid">
        <fgColor rgb="FF4F81BD"/>
        <bgColor indexed="64"/>
      </patternFill>
    </fill>
    <fill>
      <patternFill patternType="solid">
        <fgColor rgb="FFAAC2E0"/>
        <bgColor indexed="64"/>
      </patternFill>
    </fill>
    <fill>
      <patternFill patternType="solid">
        <fgColor rgb="FFD2DFEE"/>
        <bgColor indexed="64"/>
      </patternFill>
    </fill>
    <fill>
      <patternFill patternType="solid">
        <fgColor theme="8" tint="-0.249977111117893"/>
        <bgColor rgb="FFAAC2E0"/>
      </patternFill>
    </fill>
    <fill>
      <patternFill patternType="solid">
        <fgColor theme="8" tint="0.79998168889431442"/>
        <bgColor rgb="FFD2DFEE"/>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bottom/>
      <diagonal/>
    </border>
  </borders>
  <cellStyleXfs count="2">
    <xf numFmtId="0" fontId="0" fillId="0" borderId="0"/>
    <xf numFmtId="44" fontId="15" fillId="0" borderId="0" applyFont="0" applyFill="0" applyBorder="0" applyAlignment="0" applyProtection="0"/>
  </cellStyleXfs>
  <cellXfs count="38">
    <xf numFmtId="0" fontId="0" fillId="0" borderId="0" xfId="0"/>
    <xf numFmtId="0" fontId="1" fillId="2" borderId="1" xfId="0" applyFont="1" applyFill="1" applyBorder="1" applyAlignment="1">
      <alignment horizontal="center"/>
    </xf>
    <xf numFmtId="0" fontId="2" fillId="0" borderId="0" xfId="0" applyFont="1" applyAlignment="1">
      <alignment horizontal="center" vertical="center"/>
    </xf>
    <xf numFmtId="0" fontId="4" fillId="0" borderId="0" xfId="0" applyFont="1"/>
    <xf numFmtId="0" fontId="2" fillId="0" borderId="0" xfId="0" applyFont="1"/>
    <xf numFmtId="164" fontId="2" fillId="0" borderId="0" xfId="0" applyNumberFormat="1" applyFont="1"/>
    <xf numFmtId="0" fontId="3" fillId="0" borderId="1" xfId="0" applyFont="1" applyBorder="1" applyAlignment="1">
      <alignment wrapText="1"/>
    </xf>
    <xf numFmtId="1" fontId="0" fillId="0" borderId="0" xfId="0" applyNumberFormat="1"/>
    <xf numFmtId="22" fontId="2" fillId="0" borderId="0" xfId="0" applyNumberFormat="1" applyFont="1"/>
    <xf numFmtId="14" fontId="2" fillId="0" borderId="0" xfId="0" applyNumberFormat="1" applyFont="1"/>
    <xf numFmtId="0" fontId="0" fillId="0" borderId="2" xfId="0" applyBorder="1"/>
    <xf numFmtId="0" fontId="8" fillId="0" borderId="2" xfId="0" applyFont="1" applyBorder="1" applyAlignment="1">
      <alignment horizontal="center"/>
    </xf>
    <xf numFmtId="0" fontId="7" fillId="0" borderId="0" xfId="0" applyFont="1"/>
    <xf numFmtId="0" fontId="10" fillId="0" borderId="0" xfId="0" applyFont="1"/>
    <xf numFmtId="14" fontId="0" fillId="0" borderId="0" xfId="0" applyNumberFormat="1"/>
    <xf numFmtId="0" fontId="12" fillId="0" borderId="2" xfId="0" applyFont="1" applyBorder="1" applyAlignment="1">
      <alignment vertical="top" wrapText="1"/>
    </xf>
    <xf numFmtId="0" fontId="0" fillId="3" borderId="0" xfId="0" applyFill="1"/>
    <xf numFmtId="0" fontId="13" fillId="4" borderId="2" xfId="0" applyFont="1" applyFill="1" applyBorder="1"/>
    <xf numFmtId="0" fontId="0" fillId="5" borderId="2" xfId="0" applyFill="1" applyBorder="1"/>
    <xf numFmtId="0" fontId="14" fillId="4" borderId="2" xfId="0" applyFont="1" applyFill="1" applyBorder="1"/>
    <xf numFmtId="165" fontId="0" fillId="5" borderId="2" xfId="1" applyNumberFormat="1" applyFont="1" applyFill="1" applyBorder="1"/>
    <xf numFmtId="0" fontId="13" fillId="6" borderId="2" xfId="0" applyFont="1" applyFill="1" applyBorder="1"/>
    <xf numFmtId="0" fontId="0" fillId="7" borderId="2" xfId="0" applyFill="1" applyBorder="1"/>
    <xf numFmtId="0" fontId="0" fillId="0" borderId="2" xfId="0" pivotButton="1" applyBorder="1"/>
    <xf numFmtId="0" fontId="0" fillId="0" borderId="2" xfId="0" applyBorder="1" applyAlignment="1">
      <alignment horizontal="left"/>
    </xf>
    <xf numFmtId="0" fontId="9" fillId="3" borderId="7" xfId="0" applyFont="1" applyFill="1" applyBorder="1" applyAlignment="1">
      <alignment horizontal="center" vertical="center"/>
    </xf>
    <xf numFmtId="0" fontId="9" fillId="3" borderId="12" xfId="0" applyFont="1" applyFill="1" applyBorder="1" applyAlignment="1">
      <alignment horizontal="center" vertical="center"/>
    </xf>
    <xf numFmtId="0" fontId="9" fillId="3" borderId="9"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0" xfId="0" applyFont="1" applyFill="1" applyAlignment="1">
      <alignment horizontal="center" vertical="center"/>
    </xf>
    <xf numFmtId="0" fontId="9" fillId="3" borderId="5" xfId="0" applyFont="1" applyFill="1" applyBorder="1" applyAlignment="1">
      <alignment horizontal="center"/>
    </xf>
    <xf numFmtId="0" fontId="9" fillId="3" borderId="4" xfId="0" applyFont="1" applyFill="1" applyBorder="1" applyAlignment="1">
      <alignment horizontal="center"/>
    </xf>
    <xf numFmtId="0" fontId="9" fillId="3" borderId="6" xfId="0" applyFont="1" applyFill="1" applyBorder="1" applyAlignment="1">
      <alignment horizontal="center"/>
    </xf>
    <xf numFmtId="0" fontId="9" fillId="3" borderId="8"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0" xfId="0" applyFont="1" applyFill="1" applyBorder="1" applyAlignment="1">
      <alignment horizontal="center" vertical="center"/>
    </xf>
    <xf numFmtId="0" fontId="9" fillId="3" borderId="2" xfId="0" applyFont="1" applyFill="1" applyBorder="1" applyAlignment="1">
      <alignment horizontal="center"/>
    </xf>
  </cellXfs>
  <cellStyles count="2">
    <cellStyle name="Currency" xfId="1" builtinId="4"/>
    <cellStyle name="Normal" xfId="0" builtinId="0"/>
  </cellStyles>
  <dxfs count="186">
    <dxf>
      <fill>
        <patternFill>
          <fgColor rgb="FFD2DFEE"/>
        </patternFill>
      </fill>
    </dxf>
    <dxf>
      <fill>
        <patternFill>
          <fgColor indexed="64"/>
          <bgColor rgb="FFD2DFEE"/>
        </patternFill>
      </fill>
    </dxf>
    <dxf>
      <fill>
        <patternFill>
          <fgColor indexed="64"/>
          <bgColor rgb="FFAAC2E0"/>
        </patternFill>
      </fill>
    </dxf>
    <dxf>
      <fill>
        <patternFill>
          <fgColor indexed="64"/>
          <bgColor rgb="FFAAC2E0"/>
        </patternFill>
      </fill>
    </dxf>
    <dxf>
      <fill>
        <patternFill>
          <fgColor indexed="64"/>
          <bgColor rgb="FFAAC2E0"/>
        </patternFill>
      </fill>
    </dxf>
    <dxf>
      <fill>
        <patternFill>
          <fgColor indexed="64"/>
          <bgColor rgb="FFAAC2E0"/>
        </patternFill>
      </fill>
    </dxf>
    <dxf>
      <fill>
        <patternFill>
          <fgColor indexed="64"/>
          <bgColor rgb="FFAAC2E0"/>
        </patternFill>
      </fill>
    </dxf>
    <dxf>
      <fill>
        <patternFill>
          <fgColor indexed="64"/>
          <bgColor rgb="FFAAC2E0"/>
        </patternFill>
      </fill>
    </dxf>
    <dxf>
      <fill>
        <patternFill>
          <fgColor indexed="64"/>
          <bgColor rgb="FFAAC2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amily val="2"/>
      </font>
      <fill>
        <patternFill patternType="solid">
          <fgColor indexed="64"/>
          <bgColor theme="8" tint="-0.249977111117893"/>
        </patternFill>
      </fill>
      <alignment horizontal="general" vertical="bottom" textRotation="0" wrapText="0" indent="0" justifyLastLine="0" shrinkToFit="0" readingOrder="0"/>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ill>
        <patternFill patternType="solid">
          <fgColor indexed="64"/>
          <bgColor theme="8" tint="0.79998168889431442"/>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ill>
        <patternFill>
          <fgColor rgb="FFD2DFE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amily val="2"/>
      </font>
      <fill>
        <patternFill patternType="solid">
          <fgColor indexed="64"/>
          <bgColor theme="8" tint="-0.249977111117893"/>
        </patternFill>
      </fill>
      <alignment horizontal="general" vertical="bottom" textRotation="0" wrapText="0" indent="0" justifyLastLine="0" shrinkToFit="0" readingOrder="0"/>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ill>
        <patternFill patternType="solid">
          <fgColor indexed="64"/>
          <bgColor theme="8" tint="0.79998168889431442"/>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ont>
        <b val="0"/>
        <i val="0"/>
        <strike val="0"/>
        <condense val="0"/>
        <extend val="0"/>
        <outline val="0"/>
        <shadow val="0"/>
        <u val="none"/>
        <vertAlign val="baseline"/>
        <sz val="11"/>
        <color theme="1"/>
        <name val="Calibri"/>
        <scheme val="minor"/>
      </font>
      <numFmt numFmtId="19" formatCode="m/d/yyyy"/>
    </dxf>
    <dxf>
      <numFmt numFmtId="0" formatCode="General"/>
    </dxf>
    <dxf>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27" formatCode="m/d/yyyy\ h:mm"/>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ill>
        <patternFill>
          <fgColor rgb="FFD2DFEE"/>
        </patternFill>
      </fill>
    </dxf>
    <dxf>
      <font>
        <color theme="3"/>
      </font>
      <fill>
        <patternFill>
          <fgColor rgb="FFAAC2E0"/>
        </patternFill>
      </fill>
    </dxf>
    <dxf>
      <font>
        <color theme="3"/>
      </font>
      <fill>
        <patternFill>
          <fgColor rgb="FFAAC2E0"/>
        </patternFill>
      </fill>
    </dxf>
    <dxf>
      <fill>
        <patternFill patternType="solid">
          <fgColor indexed="64"/>
          <bgColor theme="8" tint="0.79998168889431442"/>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D2DFEE"/>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ill>
        <patternFill patternType="solid">
          <fgColor indexed="64"/>
          <bgColor theme="8" tint="0.79998168889431442"/>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D2DFEE"/>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ill>
        <patternFill patternType="solid">
          <fgColor indexed="64"/>
          <bgColor theme="8" tint="0.79998168889431442"/>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D2DFEE"/>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ill>
        <patternFill patternType="solid">
          <fgColor indexed="64"/>
          <bgColor theme="8" tint="0.79998168889431442"/>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D2DFEE"/>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ill>
        <patternFill patternType="solid">
          <fgColor indexed="64"/>
          <bgColor theme="8" tint="0.79998168889431442"/>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D2DFEE"/>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ill>
        <patternFill patternType="solid">
          <fgColor indexed="64"/>
          <bgColor theme="8" tint="0.79998168889431442"/>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rgb="FFD2DFEE"/>
        </patternFill>
      </fill>
    </dxf>
    <dxf>
      <fill>
        <patternFill>
          <fgColor indexed="64"/>
          <bgColor rgb="FFAAC2E0"/>
        </patternFill>
      </fill>
    </dxf>
    <dxf>
      <fill>
        <patternFill>
          <fgColor indexed="64"/>
          <bgColor rgb="FFAAC2E0"/>
        </patternFill>
      </fill>
    </dxf>
    <dxf>
      <fill>
        <patternFill>
          <fgColor indexed="64"/>
          <bgColor rgb="FFAAC2E0"/>
        </patternFill>
      </fill>
    </dxf>
    <dxf>
      <font>
        <color theme="3"/>
      </font>
      <fill>
        <patternFill>
          <fgColor rgb="FFAAC2E0"/>
        </patternFill>
      </fill>
    </dxf>
    <dxf>
      <font>
        <color theme="3"/>
      </font>
      <fill>
        <patternFill>
          <fgColor rgb="FFAAC2E0"/>
        </patternFill>
      </fill>
    </dxf>
    <dxf>
      <font>
        <color theme="3"/>
      </font>
      <fill>
        <patternFill>
          <fgColor rgb="FFAAC2E0"/>
        </patternFill>
      </fill>
    </dxf>
    <dxf>
      <fill>
        <patternFill patternType="solid">
          <fgColor indexed="64"/>
          <bgColor theme="8" tint="0.79998168889431442"/>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font>
        <color theme="0"/>
        <family val="2"/>
      </font>
      <fill>
        <patternFill patternType="solid">
          <fgColor indexed="64"/>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Invisible" pivot="0" table="0" count="0" xr9:uid="{1230B559-CA7E-4FC0-B103-79B049379C00}"/>
  </tableStyles>
  <colors>
    <mruColors>
      <color rgb="FF4F81BD"/>
      <color rgb="FFD2DFEE"/>
      <color rgb="FFAAC2E0"/>
      <color rgb="FF739BCB"/>
      <color rgb="FF6893C6"/>
      <color rgb="FF3CA5BE"/>
      <color rgb="FF007F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[customer_transaction_analysis.xlsx]Data_Analysis!sales_by_category</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category and segment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Data_Analysis!$D$39:$D$40</c:f>
              <c:strCache>
                <c:ptCount val="1"/>
                <c:pt idx="0">
                  <c:v>Basic</c:v>
                </c:pt>
              </c:strCache>
            </c:strRef>
          </c:tx>
          <c:spPr>
            <a:solidFill>
              <a:schemeClr val="accent1"/>
            </a:solidFill>
            <a:ln>
              <a:noFill/>
            </a:ln>
            <a:effectLst/>
          </c:spPr>
          <c:invertIfNegative val="0"/>
          <c:cat>
            <c:strRef>
              <c:f>Data_Analysis!$C$41:$C$44</c:f>
              <c:strCache>
                <c:ptCount val="3"/>
                <c:pt idx="0">
                  <c:v>Appliances</c:v>
                </c:pt>
                <c:pt idx="1">
                  <c:v>Electronics</c:v>
                </c:pt>
                <c:pt idx="2">
                  <c:v>Furniture</c:v>
                </c:pt>
              </c:strCache>
            </c:strRef>
          </c:cat>
          <c:val>
            <c:numRef>
              <c:f>Data_Analysis!$D$41:$D$44</c:f>
              <c:numCache>
                <c:formatCode>General</c:formatCode>
                <c:ptCount val="3"/>
                <c:pt idx="0">
                  <c:v>2819.6</c:v>
                </c:pt>
                <c:pt idx="1">
                  <c:v>40109.060000000005</c:v>
                </c:pt>
                <c:pt idx="2">
                  <c:v>19249.150000000001</c:v>
                </c:pt>
              </c:numCache>
            </c:numRef>
          </c:val>
          <c:extLst>
            <c:ext xmlns:c16="http://schemas.microsoft.com/office/drawing/2014/chart" uri="{C3380CC4-5D6E-409C-BE32-E72D297353CC}">
              <c16:uniqueId val="{00000000-0E3E-4995-A632-3E5FD6736E40}"/>
            </c:ext>
          </c:extLst>
        </c:ser>
        <c:ser>
          <c:idx val="1"/>
          <c:order val="1"/>
          <c:tx>
            <c:strRef>
              <c:f>Data_Analysis!$E$39:$E$40</c:f>
              <c:strCache>
                <c:ptCount val="1"/>
                <c:pt idx="0">
                  <c:v>Premium</c:v>
                </c:pt>
              </c:strCache>
            </c:strRef>
          </c:tx>
          <c:spPr>
            <a:solidFill>
              <a:schemeClr val="accent2"/>
            </a:solidFill>
            <a:ln>
              <a:noFill/>
            </a:ln>
            <a:effectLst/>
          </c:spPr>
          <c:invertIfNegative val="0"/>
          <c:cat>
            <c:strRef>
              <c:f>Data_Analysis!$C$41:$C$44</c:f>
              <c:strCache>
                <c:ptCount val="3"/>
                <c:pt idx="0">
                  <c:v>Appliances</c:v>
                </c:pt>
                <c:pt idx="1">
                  <c:v>Electronics</c:v>
                </c:pt>
                <c:pt idx="2">
                  <c:v>Furniture</c:v>
                </c:pt>
              </c:strCache>
            </c:strRef>
          </c:cat>
          <c:val>
            <c:numRef>
              <c:f>Data_Analysis!$E$41:$E$44</c:f>
              <c:numCache>
                <c:formatCode>General</c:formatCode>
                <c:ptCount val="3"/>
                <c:pt idx="0">
                  <c:v>2179.67</c:v>
                </c:pt>
                <c:pt idx="1">
                  <c:v>66478.25</c:v>
                </c:pt>
                <c:pt idx="2">
                  <c:v>15999.199999999995</c:v>
                </c:pt>
              </c:numCache>
            </c:numRef>
          </c:val>
          <c:extLst>
            <c:ext xmlns:c16="http://schemas.microsoft.com/office/drawing/2014/chart" uri="{C3380CC4-5D6E-409C-BE32-E72D297353CC}">
              <c16:uniqueId val="{00000001-0E3E-4995-A632-3E5FD6736E40}"/>
            </c:ext>
          </c:extLst>
        </c:ser>
        <c:ser>
          <c:idx val="2"/>
          <c:order val="2"/>
          <c:tx>
            <c:strRef>
              <c:f>Data_Analysis!$F$39:$F$40</c:f>
              <c:strCache>
                <c:ptCount val="1"/>
                <c:pt idx="0">
                  <c:v>Standard</c:v>
                </c:pt>
              </c:strCache>
            </c:strRef>
          </c:tx>
          <c:spPr>
            <a:solidFill>
              <a:schemeClr val="accent3"/>
            </a:solidFill>
            <a:ln>
              <a:noFill/>
            </a:ln>
            <a:effectLst/>
          </c:spPr>
          <c:invertIfNegative val="0"/>
          <c:cat>
            <c:strRef>
              <c:f>Data_Analysis!$C$41:$C$44</c:f>
              <c:strCache>
                <c:ptCount val="3"/>
                <c:pt idx="0">
                  <c:v>Appliances</c:v>
                </c:pt>
                <c:pt idx="1">
                  <c:v>Electronics</c:v>
                </c:pt>
                <c:pt idx="2">
                  <c:v>Furniture</c:v>
                </c:pt>
              </c:strCache>
            </c:strRef>
          </c:cat>
          <c:val>
            <c:numRef>
              <c:f>Data_Analysis!$F$41:$F$44</c:f>
              <c:numCache>
                <c:formatCode>General</c:formatCode>
                <c:ptCount val="3"/>
                <c:pt idx="0">
                  <c:v>3339.4699999999993</c:v>
                </c:pt>
                <c:pt idx="1">
                  <c:v>65168.740000000005</c:v>
                </c:pt>
                <c:pt idx="2">
                  <c:v>13849.33</c:v>
                </c:pt>
              </c:numCache>
            </c:numRef>
          </c:val>
          <c:extLst>
            <c:ext xmlns:c16="http://schemas.microsoft.com/office/drawing/2014/chart" uri="{C3380CC4-5D6E-409C-BE32-E72D297353CC}">
              <c16:uniqueId val="{00000002-0E3E-4995-A632-3E5FD6736E40}"/>
            </c:ext>
          </c:extLst>
        </c:ser>
        <c:dLbls>
          <c:showLegendKey val="0"/>
          <c:showVal val="0"/>
          <c:showCatName val="0"/>
          <c:showSerName val="0"/>
          <c:showPercent val="0"/>
          <c:showBubbleSize val="0"/>
        </c:dLbls>
        <c:gapWidth val="182"/>
        <c:axId val="1289968096"/>
        <c:axId val="1289970016"/>
      </c:barChart>
      <c:catAx>
        <c:axId val="1289968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970016"/>
        <c:crosses val="autoZero"/>
        <c:auto val="1"/>
        <c:lblAlgn val="ctr"/>
        <c:lblOffset val="100"/>
        <c:noMultiLvlLbl val="0"/>
      </c:catAx>
      <c:valAx>
        <c:axId val="12899700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968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[customer_transaction_analysis.xlsx]Data_Analysis!monthly_sales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Data_Analysis!$D$54:$D$55</c:f>
              <c:strCache>
                <c:ptCount val="1"/>
                <c:pt idx="0">
                  <c:v>Appliances</c:v>
                </c:pt>
              </c:strCache>
            </c:strRef>
          </c:tx>
          <c:spPr>
            <a:ln w="28575" cap="rnd">
              <a:solidFill>
                <a:schemeClr val="accent1"/>
              </a:solidFill>
              <a:round/>
            </a:ln>
            <a:effectLst/>
          </c:spPr>
          <c:marker>
            <c:symbol val="none"/>
          </c:marker>
          <c:cat>
            <c:strRef>
              <c:f>Data_Analysis!$C$56:$C$64</c:f>
              <c:strCache>
                <c:ptCount val="9"/>
                <c:pt idx="0">
                  <c:v>Apr</c:v>
                </c:pt>
                <c:pt idx="1">
                  <c:v>May</c:v>
                </c:pt>
                <c:pt idx="2">
                  <c:v>Jun</c:v>
                </c:pt>
                <c:pt idx="3">
                  <c:v>Jul</c:v>
                </c:pt>
                <c:pt idx="4">
                  <c:v>Aug</c:v>
                </c:pt>
                <c:pt idx="5">
                  <c:v>Sep</c:v>
                </c:pt>
                <c:pt idx="6">
                  <c:v>Oct</c:v>
                </c:pt>
                <c:pt idx="7">
                  <c:v>Nov</c:v>
                </c:pt>
                <c:pt idx="8">
                  <c:v>Dec</c:v>
                </c:pt>
              </c:strCache>
            </c:strRef>
          </c:cat>
          <c:val>
            <c:numRef>
              <c:f>Data_Analysis!$D$56:$D$64</c:f>
              <c:numCache>
                <c:formatCode>General</c:formatCode>
                <c:ptCount val="9"/>
                <c:pt idx="0">
                  <c:v>1019.83</c:v>
                </c:pt>
                <c:pt idx="1">
                  <c:v>1279.81</c:v>
                </c:pt>
                <c:pt idx="2">
                  <c:v>1079.8399999999999</c:v>
                </c:pt>
                <c:pt idx="3">
                  <c:v>999.8599999999999</c:v>
                </c:pt>
                <c:pt idx="4">
                  <c:v>419.93</c:v>
                </c:pt>
                <c:pt idx="5">
                  <c:v>1099.8399999999999</c:v>
                </c:pt>
                <c:pt idx="6">
                  <c:v>619.9</c:v>
                </c:pt>
                <c:pt idx="7">
                  <c:v>1259.8</c:v>
                </c:pt>
                <c:pt idx="8">
                  <c:v>559.92999999999995</c:v>
                </c:pt>
              </c:numCache>
            </c:numRef>
          </c:val>
          <c:smooth val="0"/>
          <c:extLst>
            <c:ext xmlns:c16="http://schemas.microsoft.com/office/drawing/2014/chart" uri="{C3380CC4-5D6E-409C-BE32-E72D297353CC}">
              <c16:uniqueId val="{00000000-FD56-4F86-A1A1-392366328D81}"/>
            </c:ext>
          </c:extLst>
        </c:ser>
        <c:ser>
          <c:idx val="1"/>
          <c:order val="1"/>
          <c:tx>
            <c:strRef>
              <c:f>Data_Analysis!$E$54:$E$55</c:f>
              <c:strCache>
                <c:ptCount val="1"/>
                <c:pt idx="0">
                  <c:v>Electronics</c:v>
                </c:pt>
              </c:strCache>
            </c:strRef>
          </c:tx>
          <c:spPr>
            <a:ln w="28575" cap="rnd">
              <a:solidFill>
                <a:schemeClr val="accent2"/>
              </a:solidFill>
              <a:round/>
            </a:ln>
            <a:effectLst/>
          </c:spPr>
          <c:marker>
            <c:symbol val="none"/>
          </c:marker>
          <c:cat>
            <c:strRef>
              <c:f>Data_Analysis!$C$56:$C$64</c:f>
              <c:strCache>
                <c:ptCount val="9"/>
                <c:pt idx="0">
                  <c:v>Apr</c:v>
                </c:pt>
                <c:pt idx="1">
                  <c:v>May</c:v>
                </c:pt>
                <c:pt idx="2">
                  <c:v>Jun</c:v>
                </c:pt>
                <c:pt idx="3">
                  <c:v>Jul</c:v>
                </c:pt>
                <c:pt idx="4">
                  <c:v>Aug</c:v>
                </c:pt>
                <c:pt idx="5">
                  <c:v>Sep</c:v>
                </c:pt>
                <c:pt idx="6">
                  <c:v>Oct</c:v>
                </c:pt>
                <c:pt idx="7">
                  <c:v>Nov</c:v>
                </c:pt>
                <c:pt idx="8">
                  <c:v>Dec</c:v>
                </c:pt>
              </c:strCache>
            </c:strRef>
          </c:cat>
          <c:val>
            <c:numRef>
              <c:f>Data_Analysis!$E$56:$E$64</c:f>
              <c:numCache>
                <c:formatCode>General</c:formatCode>
                <c:ptCount val="9"/>
                <c:pt idx="0">
                  <c:v>12949.759999999997</c:v>
                </c:pt>
                <c:pt idx="1">
                  <c:v>25179.39</c:v>
                </c:pt>
                <c:pt idx="2">
                  <c:v>15679.609999999997</c:v>
                </c:pt>
                <c:pt idx="3">
                  <c:v>19049.509999999995</c:v>
                </c:pt>
                <c:pt idx="4">
                  <c:v>26259.390000000007</c:v>
                </c:pt>
                <c:pt idx="5">
                  <c:v>21789.539999999997</c:v>
                </c:pt>
                <c:pt idx="6">
                  <c:v>19419.499999999996</c:v>
                </c:pt>
                <c:pt idx="7">
                  <c:v>18659.620000000003</c:v>
                </c:pt>
                <c:pt idx="8">
                  <c:v>12769.729999999996</c:v>
                </c:pt>
              </c:numCache>
            </c:numRef>
          </c:val>
          <c:smooth val="0"/>
          <c:extLst>
            <c:ext xmlns:c16="http://schemas.microsoft.com/office/drawing/2014/chart" uri="{C3380CC4-5D6E-409C-BE32-E72D297353CC}">
              <c16:uniqueId val="{00000001-FD56-4F86-A1A1-392366328D81}"/>
            </c:ext>
          </c:extLst>
        </c:ser>
        <c:ser>
          <c:idx val="2"/>
          <c:order val="2"/>
          <c:tx>
            <c:strRef>
              <c:f>Data_Analysis!$F$54:$F$55</c:f>
              <c:strCache>
                <c:ptCount val="1"/>
                <c:pt idx="0">
                  <c:v>Furniture</c:v>
                </c:pt>
              </c:strCache>
            </c:strRef>
          </c:tx>
          <c:spPr>
            <a:ln w="28575" cap="rnd">
              <a:solidFill>
                <a:schemeClr val="accent3"/>
              </a:solidFill>
              <a:round/>
            </a:ln>
            <a:effectLst/>
          </c:spPr>
          <c:marker>
            <c:symbol val="none"/>
          </c:marker>
          <c:cat>
            <c:strRef>
              <c:f>Data_Analysis!$C$56:$C$64</c:f>
              <c:strCache>
                <c:ptCount val="9"/>
                <c:pt idx="0">
                  <c:v>Apr</c:v>
                </c:pt>
                <c:pt idx="1">
                  <c:v>May</c:v>
                </c:pt>
                <c:pt idx="2">
                  <c:v>Jun</c:v>
                </c:pt>
                <c:pt idx="3">
                  <c:v>Jul</c:v>
                </c:pt>
                <c:pt idx="4">
                  <c:v>Aug</c:v>
                </c:pt>
                <c:pt idx="5">
                  <c:v>Sep</c:v>
                </c:pt>
                <c:pt idx="6">
                  <c:v>Oct</c:v>
                </c:pt>
                <c:pt idx="7">
                  <c:v>Nov</c:v>
                </c:pt>
                <c:pt idx="8">
                  <c:v>Dec</c:v>
                </c:pt>
              </c:strCache>
            </c:strRef>
          </c:cat>
          <c:val>
            <c:numRef>
              <c:f>Data_Analysis!$F$56:$F$64</c:f>
              <c:numCache>
                <c:formatCode>General</c:formatCode>
                <c:ptCount val="9"/>
                <c:pt idx="0">
                  <c:v>2699.82</c:v>
                </c:pt>
                <c:pt idx="1">
                  <c:v>6249.73</c:v>
                </c:pt>
                <c:pt idx="2">
                  <c:v>3849.83</c:v>
                </c:pt>
                <c:pt idx="3">
                  <c:v>5549.74</c:v>
                </c:pt>
                <c:pt idx="4">
                  <c:v>5799.75</c:v>
                </c:pt>
                <c:pt idx="5">
                  <c:v>5599.7100000000009</c:v>
                </c:pt>
                <c:pt idx="6">
                  <c:v>8899.6200000000008</c:v>
                </c:pt>
                <c:pt idx="7">
                  <c:v>8199.5999999999985</c:v>
                </c:pt>
                <c:pt idx="8">
                  <c:v>2249.88</c:v>
                </c:pt>
              </c:numCache>
            </c:numRef>
          </c:val>
          <c:smooth val="0"/>
          <c:extLst>
            <c:ext xmlns:c16="http://schemas.microsoft.com/office/drawing/2014/chart" uri="{C3380CC4-5D6E-409C-BE32-E72D297353CC}">
              <c16:uniqueId val="{00000002-FD56-4F86-A1A1-392366328D81}"/>
            </c:ext>
          </c:extLst>
        </c:ser>
        <c:dLbls>
          <c:showLegendKey val="0"/>
          <c:showVal val="0"/>
          <c:showCatName val="0"/>
          <c:showSerName val="0"/>
          <c:showPercent val="0"/>
          <c:showBubbleSize val="0"/>
        </c:dLbls>
        <c:smooth val="0"/>
        <c:axId val="134474320"/>
        <c:axId val="134471440"/>
      </c:lineChart>
      <c:catAx>
        <c:axId val="13447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71440"/>
        <c:crosses val="autoZero"/>
        <c:auto val="1"/>
        <c:lblAlgn val="ctr"/>
        <c:lblOffset val="100"/>
        <c:noMultiLvlLbl val="0"/>
      </c:catAx>
      <c:valAx>
        <c:axId val="134471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7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[customer_transaction_analysis.xlsx]Data_Analysis!pmt_mode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Mode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Data_Analysis!$D$71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A1-47B1-ADFB-D39384B1C4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A1-47B1-ADFB-D39384B1C4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A1-47B1-ADFB-D39384B1C4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A1-47B1-ADFB-D39384B1C4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Data_Analysis!$C$72:$C$75</c:f>
              <c:strCache>
                <c:ptCount val="4"/>
                <c:pt idx="0">
                  <c:v>Cash</c:v>
                </c:pt>
                <c:pt idx="1">
                  <c:v>Credit Card</c:v>
                </c:pt>
                <c:pt idx="2">
                  <c:v>Debit Card</c:v>
                </c:pt>
                <c:pt idx="3">
                  <c:v>PayPal</c:v>
                </c:pt>
              </c:strCache>
            </c:strRef>
          </c:cat>
          <c:val>
            <c:numRef>
              <c:f>Data_Analysis!$D$72:$D$75</c:f>
              <c:numCache>
                <c:formatCode>General</c:formatCode>
                <c:ptCount val="4"/>
                <c:pt idx="0">
                  <c:v>76</c:v>
                </c:pt>
                <c:pt idx="1">
                  <c:v>68</c:v>
                </c:pt>
                <c:pt idx="2">
                  <c:v>54</c:v>
                </c:pt>
                <c:pt idx="3">
                  <c:v>52</c:v>
                </c:pt>
              </c:numCache>
            </c:numRef>
          </c:val>
          <c:extLst>
            <c:ext xmlns:c16="http://schemas.microsoft.com/office/drawing/2014/chart" uri="{C3380CC4-5D6E-409C-BE32-E72D297353CC}">
              <c16:uniqueId val="{00000008-C0A1-47B1-ADFB-D39384B1C4BD}"/>
            </c:ext>
          </c:extLst>
        </c:ser>
        <c:dLbls>
          <c:showLegendKey val="0"/>
          <c:showVal val="0"/>
          <c:showCatName val="0"/>
          <c:showSerName val="0"/>
          <c:showPercent val="0"/>
          <c:showBubbleSize val="0"/>
          <c:showLeaderLines val="0"/>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[customer_transaction_analysis.xlsx]Data_Analysis!qty_sold</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Qty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Data_Analysis!$D$89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Data_Analysis!$C$90:$C$99</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Data_Analysis!$D$90:$D$99</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6793-4394-9D2F-F27B56FF5879}"/>
            </c:ext>
          </c:extLst>
        </c:ser>
        <c:dLbls>
          <c:dLblPos val="outEnd"/>
          <c:showLegendKey val="0"/>
          <c:showVal val="1"/>
          <c:showCatName val="0"/>
          <c:showSerName val="0"/>
          <c:showPercent val="0"/>
          <c:showBubbleSize val="0"/>
        </c:dLbls>
        <c:gapWidth val="219"/>
        <c:overlap val="-27"/>
        <c:axId val="1376874592"/>
        <c:axId val="1376875552"/>
      </c:barChart>
      <c:catAx>
        <c:axId val="137687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875552"/>
        <c:crosses val="autoZero"/>
        <c:auto val="1"/>
        <c:lblAlgn val="ctr"/>
        <c:lblOffset val="100"/>
        <c:noMultiLvlLbl val="0"/>
      </c:catAx>
      <c:valAx>
        <c:axId val="1376875552"/>
        <c:scaling>
          <c:orientation val="minMax"/>
        </c:scaling>
        <c:delete val="1"/>
        <c:axPos val="l"/>
        <c:numFmt formatCode="General" sourceLinked="1"/>
        <c:majorTickMark val="none"/>
        <c:minorTickMark val="none"/>
        <c:tickLblPos val="nextTo"/>
        <c:crossAx val="137687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[customer_transaction_analysis.xlsx]Data_Analysis!customer_segment_dist</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Data_Analysis!$D$106:$D$107</c:f>
              <c:strCache>
                <c:ptCount val="1"/>
                <c:pt idx="0">
                  <c:v>Basic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Data_Analysis!$C$108:$C$112</c:f>
              <c:strCache>
                <c:ptCount val="5"/>
                <c:pt idx="0">
                  <c:v>Central</c:v>
                </c:pt>
                <c:pt idx="1">
                  <c:v>East</c:v>
                </c:pt>
                <c:pt idx="2">
                  <c:v>North</c:v>
                </c:pt>
                <c:pt idx="3">
                  <c:v>South</c:v>
                </c:pt>
                <c:pt idx="4">
                  <c:v>West</c:v>
                </c:pt>
              </c:strCache>
            </c:strRef>
          </c:cat>
          <c:val>
            <c:numRef>
              <c:f>Data_Analysis!$D$108:$D$112</c:f>
              <c:numCache>
                <c:formatCode>General</c:formatCode>
                <c:ptCount val="5"/>
                <c:pt idx="0">
                  <c:v>18</c:v>
                </c:pt>
                <c:pt idx="1">
                  <c:v>10</c:v>
                </c:pt>
                <c:pt idx="2">
                  <c:v>16</c:v>
                </c:pt>
                <c:pt idx="3">
                  <c:v>16</c:v>
                </c:pt>
                <c:pt idx="4">
                  <c:v>14</c:v>
                </c:pt>
              </c:numCache>
            </c:numRef>
          </c:val>
          <c:extLst>
            <c:ext xmlns:c16="http://schemas.microsoft.com/office/drawing/2014/chart" uri="{C3380CC4-5D6E-409C-BE32-E72D297353CC}">
              <c16:uniqueId val="{00000000-6986-4E04-A093-BE3D214186B4}"/>
            </c:ext>
          </c:extLst>
        </c:ser>
        <c:ser>
          <c:idx val="1"/>
          <c:order val="1"/>
          <c:tx>
            <c:strRef>
              <c:f>Data_Analysis!$E$106:$E$107</c:f>
              <c:strCache>
                <c:ptCount val="1"/>
                <c:pt idx="0">
                  <c:v>Premium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Data_Analysis!$C$108:$C$112</c:f>
              <c:strCache>
                <c:ptCount val="5"/>
                <c:pt idx="0">
                  <c:v>Central</c:v>
                </c:pt>
                <c:pt idx="1">
                  <c:v>East</c:v>
                </c:pt>
                <c:pt idx="2">
                  <c:v>North</c:v>
                </c:pt>
                <c:pt idx="3">
                  <c:v>South</c:v>
                </c:pt>
                <c:pt idx="4">
                  <c:v>West</c:v>
                </c:pt>
              </c:strCache>
            </c:strRef>
          </c:cat>
          <c:val>
            <c:numRef>
              <c:f>Data_Analysis!$E$108:$E$112</c:f>
              <c:numCache>
                <c:formatCode>General</c:formatCode>
                <c:ptCount val="5"/>
                <c:pt idx="0">
                  <c:v>22</c:v>
                </c:pt>
                <c:pt idx="1">
                  <c:v>16</c:v>
                </c:pt>
                <c:pt idx="2">
                  <c:v>29</c:v>
                </c:pt>
                <c:pt idx="3">
                  <c:v>10</c:v>
                </c:pt>
                <c:pt idx="4">
                  <c:v>18</c:v>
                </c:pt>
              </c:numCache>
            </c:numRef>
          </c:val>
          <c:extLst>
            <c:ext xmlns:c16="http://schemas.microsoft.com/office/drawing/2014/chart" uri="{C3380CC4-5D6E-409C-BE32-E72D297353CC}">
              <c16:uniqueId val="{00000001-6986-4E04-A093-BE3D214186B4}"/>
            </c:ext>
          </c:extLst>
        </c:ser>
        <c:ser>
          <c:idx val="2"/>
          <c:order val="2"/>
          <c:tx>
            <c:strRef>
              <c:f>Data_Analysis!$F$106:$F$107</c:f>
              <c:strCache>
                <c:ptCount val="1"/>
                <c:pt idx="0">
                  <c:v>Standard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Data_Analysis!$C$108:$C$112</c:f>
              <c:strCache>
                <c:ptCount val="5"/>
                <c:pt idx="0">
                  <c:v>Central</c:v>
                </c:pt>
                <c:pt idx="1">
                  <c:v>East</c:v>
                </c:pt>
                <c:pt idx="2">
                  <c:v>North</c:v>
                </c:pt>
                <c:pt idx="3">
                  <c:v>South</c:v>
                </c:pt>
                <c:pt idx="4">
                  <c:v>West</c:v>
                </c:pt>
              </c:strCache>
            </c:strRef>
          </c:cat>
          <c:val>
            <c:numRef>
              <c:f>Data_Analysis!$F$108:$F$112</c:f>
              <c:numCache>
                <c:formatCode>General</c:formatCode>
                <c:ptCount val="5"/>
                <c:pt idx="0">
                  <c:v>14</c:v>
                </c:pt>
                <c:pt idx="1">
                  <c:v>22</c:v>
                </c:pt>
                <c:pt idx="2">
                  <c:v>14</c:v>
                </c:pt>
                <c:pt idx="3">
                  <c:v>16</c:v>
                </c:pt>
                <c:pt idx="4">
                  <c:v>15</c:v>
                </c:pt>
              </c:numCache>
            </c:numRef>
          </c:val>
          <c:extLst>
            <c:ext xmlns:c16="http://schemas.microsoft.com/office/drawing/2014/chart" uri="{C3380CC4-5D6E-409C-BE32-E72D297353CC}">
              <c16:uniqueId val="{00000002-6986-4E04-A093-BE3D214186B4}"/>
            </c:ext>
          </c:extLst>
        </c:ser>
        <c:dLbls>
          <c:dLblPos val="outEnd"/>
          <c:showLegendKey val="0"/>
          <c:showVal val="1"/>
          <c:showCatName val="0"/>
          <c:showSerName val="0"/>
          <c:showPercent val="0"/>
          <c:showBubbleSize val="0"/>
        </c:dLbls>
        <c:gapWidth val="219"/>
        <c:overlap val="-27"/>
        <c:axId val="358225984"/>
        <c:axId val="358226464"/>
      </c:barChart>
      <c:catAx>
        <c:axId val="35822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226464"/>
        <c:crosses val="autoZero"/>
        <c:auto val="1"/>
        <c:lblAlgn val="ctr"/>
        <c:lblOffset val="100"/>
        <c:noMultiLvlLbl val="0"/>
      </c:catAx>
      <c:valAx>
        <c:axId val="358226464"/>
        <c:scaling>
          <c:orientation val="minMax"/>
        </c:scaling>
        <c:delete val="1"/>
        <c:axPos val="l"/>
        <c:numFmt formatCode="General" sourceLinked="1"/>
        <c:majorTickMark val="none"/>
        <c:minorTickMark val="none"/>
        <c:tickLblPos val="nextTo"/>
        <c:crossAx val="35822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[customer_transaction_analysis.xlsx]Data_Analysis!category_sales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Data_Analysis!$D$124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58-40D9-9431-9038DCF96B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58-40D9-9431-9038DCF96B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58-40D9-9431-9038DCF96B1A}"/>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Data_Analysis!$C$125:$C$127</c:f>
              <c:strCache>
                <c:ptCount val="3"/>
                <c:pt idx="0">
                  <c:v>Appliances</c:v>
                </c:pt>
                <c:pt idx="1">
                  <c:v>Electronics</c:v>
                </c:pt>
                <c:pt idx="2">
                  <c:v>Furniture</c:v>
                </c:pt>
              </c:strCache>
            </c:strRef>
          </c:cat>
          <c:val>
            <c:numRef>
              <c:f>Data_Analysis!$D$125:$D$127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0958-40D9-9431-9038DCF96B1A}"/>
            </c:ext>
          </c:extLst>
        </c:ser>
        <c:dLbls>
          <c:showLegendKey val="0"/>
          <c:showVal val="0"/>
          <c:showCatName val="0"/>
          <c:showSerName val="0"/>
          <c:showPercent val="0"/>
          <c:showBubbleSize val="0"/>
          <c:showLeaderLines val="0"/>
        </c:dLbls>
        <c:firstSliceAng val="0"/>
        <c:holeSize val="5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[customer_transaction_analysis.xlsx]Data_Analysis!sales_by_category</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category and segment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barChart>
        <c:barDir val="bar"/>
        <c:grouping val="clustered"/>
        <c:varyColors val="0"/>
        <c:ser>
          <c:idx val="0"/>
          <c:order val="0"/>
          <c:tx>
            <c:strRef>
              <c:f>Data_Analysis!$D$39:$D$40</c:f>
              <c:strCache>
                <c:ptCount val="1"/>
                <c:pt idx="0">
                  <c:v>Basic</c:v>
                </c:pt>
              </c:strCache>
            </c:strRef>
          </c:tx>
          <c:spPr>
            <a:solidFill>
              <a:schemeClr val="accent1"/>
            </a:solidFill>
            <a:ln>
              <a:noFill/>
            </a:ln>
            <a:effectLst/>
          </c:spPr>
          <c:invertIfNegative val="0"/>
          <c:cat>
            <c:strRef>
              <c:f>Data_Analysis!$C$41:$C$44</c:f>
              <c:strCache>
                <c:ptCount val="3"/>
                <c:pt idx="0">
                  <c:v>Appliances</c:v>
                </c:pt>
                <c:pt idx="1">
                  <c:v>Electronics</c:v>
                </c:pt>
                <c:pt idx="2">
                  <c:v>Furniture</c:v>
                </c:pt>
              </c:strCache>
            </c:strRef>
          </c:cat>
          <c:val>
            <c:numRef>
              <c:f>Data_Analysis!$D$41:$D$44</c:f>
              <c:numCache>
                <c:formatCode>General</c:formatCode>
                <c:ptCount val="3"/>
                <c:pt idx="0">
                  <c:v>2819.6</c:v>
                </c:pt>
                <c:pt idx="1">
                  <c:v>40109.060000000005</c:v>
                </c:pt>
                <c:pt idx="2">
                  <c:v>19249.150000000001</c:v>
                </c:pt>
              </c:numCache>
            </c:numRef>
          </c:val>
          <c:extLst>
            <c:ext xmlns:c16="http://schemas.microsoft.com/office/drawing/2014/chart" uri="{C3380CC4-5D6E-409C-BE32-E72D297353CC}">
              <c16:uniqueId val="{00000000-DFB9-4819-9B7F-79B501780698}"/>
            </c:ext>
          </c:extLst>
        </c:ser>
        <c:ser>
          <c:idx val="1"/>
          <c:order val="1"/>
          <c:tx>
            <c:strRef>
              <c:f>Data_Analysis!$E$39:$E$40</c:f>
              <c:strCache>
                <c:ptCount val="1"/>
                <c:pt idx="0">
                  <c:v>Premium</c:v>
                </c:pt>
              </c:strCache>
            </c:strRef>
          </c:tx>
          <c:spPr>
            <a:solidFill>
              <a:schemeClr val="accent2"/>
            </a:solidFill>
            <a:ln>
              <a:noFill/>
            </a:ln>
            <a:effectLst/>
          </c:spPr>
          <c:invertIfNegative val="0"/>
          <c:cat>
            <c:strRef>
              <c:f>Data_Analysis!$C$41:$C$44</c:f>
              <c:strCache>
                <c:ptCount val="3"/>
                <c:pt idx="0">
                  <c:v>Appliances</c:v>
                </c:pt>
                <c:pt idx="1">
                  <c:v>Electronics</c:v>
                </c:pt>
                <c:pt idx="2">
                  <c:v>Furniture</c:v>
                </c:pt>
              </c:strCache>
            </c:strRef>
          </c:cat>
          <c:val>
            <c:numRef>
              <c:f>Data_Analysis!$E$41:$E$44</c:f>
              <c:numCache>
                <c:formatCode>General</c:formatCode>
                <c:ptCount val="3"/>
                <c:pt idx="0">
                  <c:v>2179.67</c:v>
                </c:pt>
                <c:pt idx="1">
                  <c:v>66478.25</c:v>
                </c:pt>
                <c:pt idx="2">
                  <c:v>15999.199999999995</c:v>
                </c:pt>
              </c:numCache>
            </c:numRef>
          </c:val>
          <c:extLst>
            <c:ext xmlns:c16="http://schemas.microsoft.com/office/drawing/2014/chart" uri="{C3380CC4-5D6E-409C-BE32-E72D297353CC}">
              <c16:uniqueId val="{00000001-DFB9-4819-9B7F-79B501780698}"/>
            </c:ext>
          </c:extLst>
        </c:ser>
        <c:ser>
          <c:idx val="2"/>
          <c:order val="2"/>
          <c:tx>
            <c:strRef>
              <c:f>Data_Analysis!$F$39:$F$40</c:f>
              <c:strCache>
                <c:ptCount val="1"/>
                <c:pt idx="0">
                  <c:v>Standard</c:v>
                </c:pt>
              </c:strCache>
            </c:strRef>
          </c:tx>
          <c:spPr>
            <a:solidFill>
              <a:schemeClr val="accent3"/>
            </a:solidFill>
            <a:ln>
              <a:noFill/>
            </a:ln>
            <a:effectLst/>
          </c:spPr>
          <c:invertIfNegative val="0"/>
          <c:cat>
            <c:strRef>
              <c:f>Data_Analysis!$C$41:$C$44</c:f>
              <c:strCache>
                <c:ptCount val="3"/>
                <c:pt idx="0">
                  <c:v>Appliances</c:v>
                </c:pt>
                <c:pt idx="1">
                  <c:v>Electronics</c:v>
                </c:pt>
                <c:pt idx="2">
                  <c:v>Furniture</c:v>
                </c:pt>
              </c:strCache>
            </c:strRef>
          </c:cat>
          <c:val>
            <c:numRef>
              <c:f>Data_Analysis!$F$41:$F$44</c:f>
              <c:numCache>
                <c:formatCode>General</c:formatCode>
                <c:ptCount val="3"/>
                <c:pt idx="0">
                  <c:v>3339.4699999999993</c:v>
                </c:pt>
                <c:pt idx="1">
                  <c:v>65168.740000000005</c:v>
                </c:pt>
                <c:pt idx="2">
                  <c:v>13849.33</c:v>
                </c:pt>
              </c:numCache>
            </c:numRef>
          </c:val>
          <c:extLst>
            <c:ext xmlns:c16="http://schemas.microsoft.com/office/drawing/2014/chart" uri="{C3380CC4-5D6E-409C-BE32-E72D297353CC}">
              <c16:uniqueId val="{00000002-DFB9-4819-9B7F-79B501780698}"/>
            </c:ext>
          </c:extLst>
        </c:ser>
        <c:dLbls>
          <c:showLegendKey val="0"/>
          <c:showVal val="0"/>
          <c:showCatName val="0"/>
          <c:showSerName val="0"/>
          <c:showPercent val="0"/>
          <c:showBubbleSize val="0"/>
        </c:dLbls>
        <c:gapWidth val="182"/>
        <c:axId val="1289968096"/>
        <c:axId val="1289970016"/>
      </c:barChart>
      <c:catAx>
        <c:axId val="1289968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970016"/>
        <c:crosses val="autoZero"/>
        <c:auto val="1"/>
        <c:lblAlgn val="ctr"/>
        <c:lblOffset val="100"/>
        <c:noMultiLvlLbl val="0"/>
      </c:catAx>
      <c:valAx>
        <c:axId val="12899700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968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[customer_transaction_analysis.xlsx]Data_Analysis!monthly_sales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Data_Analysis!$D$54:$D$55</c:f>
              <c:strCache>
                <c:ptCount val="1"/>
                <c:pt idx="0">
                  <c:v>Appliances</c:v>
                </c:pt>
              </c:strCache>
            </c:strRef>
          </c:tx>
          <c:spPr>
            <a:ln w="28575" cap="rnd">
              <a:solidFill>
                <a:schemeClr val="accent1"/>
              </a:solidFill>
              <a:round/>
            </a:ln>
            <a:effectLst/>
          </c:spPr>
          <c:marker>
            <c:symbol val="none"/>
          </c:marker>
          <c:cat>
            <c:strRef>
              <c:f>Data_Analysis!$C$56:$C$64</c:f>
              <c:strCache>
                <c:ptCount val="9"/>
                <c:pt idx="0">
                  <c:v>Apr</c:v>
                </c:pt>
                <c:pt idx="1">
                  <c:v>May</c:v>
                </c:pt>
                <c:pt idx="2">
                  <c:v>Jun</c:v>
                </c:pt>
                <c:pt idx="3">
                  <c:v>Jul</c:v>
                </c:pt>
                <c:pt idx="4">
                  <c:v>Aug</c:v>
                </c:pt>
                <c:pt idx="5">
                  <c:v>Sep</c:v>
                </c:pt>
                <c:pt idx="6">
                  <c:v>Oct</c:v>
                </c:pt>
                <c:pt idx="7">
                  <c:v>Nov</c:v>
                </c:pt>
                <c:pt idx="8">
                  <c:v>Dec</c:v>
                </c:pt>
              </c:strCache>
            </c:strRef>
          </c:cat>
          <c:val>
            <c:numRef>
              <c:f>Data_Analysis!$D$56:$D$64</c:f>
              <c:numCache>
                <c:formatCode>General</c:formatCode>
                <c:ptCount val="9"/>
                <c:pt idx="0">
                  <c:v>1019.83</c:v>
                </c:pt>
                <c:pt idx="1">
                  <c:v>1279.81</c:v>
                </c:pt>
                <c:pt idx="2">
                  <c:v>1079.8399999999999</c:v>
                </c:pt>
                <c:pt idx="3">
                  <c:v>999.8599999999999</c:v>
                </c:pt>
                <c:pt idx="4">
                  <c:v>419.93</c:v>
                </c:pt>
                <c:pt idx="5">
                  <c:v>1099.8399999999999</c:v>
                </c:pt>
                <c:pt idx="6">
                  <c:v>619.9</c:v>
                </c:pt>
                <c:pt idx="7">
                  <c:v>1259.8</c:v>
                </c:pt>
                <c:pt idx="8">
                  <c:v>559.92999999999995</c:v>
                </c:pt>
              </c:numCache>
            </c:numRef>
          </c:val>
          <c:smooth val="0"/>
          <c:extLst>
            <c:ext xmlns:c16="http://schemas.microsoft.com/office/drawing/2014/chart" uri="{C3380CC4-5D6E-409C-BE32-E72D297353CC}">
              <c16:uniqueId val="{00000000-0B4D-4D3D-B435-5842525AA471}"/>
            </c:ext>
          </c:extLst>
        </c:ser>
        <c:ser>
          <c:idx val="1"/>
          <c:order val="1"/>
          <c:tx>
            <c:strRef>
              <c:f>Data_Analysis!$E$54:$E$55</c:f>
              <c:strCache>
                <c:ptCount val="1"/>
                <c:pt idx="0">
                  <c:v>Electronics</c:v>
                </c:pt>
              </c:strCache>
            </c:strRef>
          </c:tx>
          <c:spPr>
            <a:ln w="28575" cap="rnd">
              <a:solidFill>
                <a:schemeClr val="accent2"/>
              </a:solidFill>
              <a:round/>
            </a:ln>
            <a:effectLst/>
          </c:spPr>
          <c:marker>
            <c:symbol val="none"/>
          </c:marker>
          <c:cat>
            <c:strRef>
              <c:f>Data_Analysis!$C$56:$C$64</c:f>
              <c:strCache>
                <c:ptCount val="9"/>
                <c:pt idx="0">
                  <c:v>Apr</c:v>
                </c:pt>
                <c:pt idx="1">
                  <c:v>May</c:v>
                </c:pt>
                <c:pt idx="2">
                  <c:v>Jun</c:v>
                </c:pt>
                <c:pt idx="3">
                  <c:v>Jul</c:v>
                </c:pt>
                <c:pt idx="4">
                  <c:v>Aug</c:v>
                </c:pt>
                <c:pt idx="5">
                  <c:v>Sep</c:v>
                </c:pt>
                <c:pt idx="6">
                  <c:v>Oct</c:v>
                </c:pt>
                <c:pt idx="7">
                  <c:v>Nov</c:v>
                </c:pt>
                <c:pt idx="8">
                  <c:v>Dec</c:v>
                </c:pt>
              </c:strCache>
            </c:strRef>
          </c:cat>
          <c:val>
            <c:numRef>
              <c:f>Data_Analysis!$E$56:$E$64</c:f>
              <c:numCache>
                <c:formatCode>General</c:formatCode>
                <c:ptCount val="9"/>
                <c:pt idx="0">
                  <c:v>12949.759999999997</c:v>
                </c:pt>
                <c:pt idx="1">
                  <c:v>25179.39</c:v>
                </c:pt>
                <c:pt idx="2">
                  <c:v>15679.609999999997</c:v>
                </c:pt>
                <c:pt idx="3">
                  <c:v>19049.509999999995</c:v>
                </c:pt>
                <c:pt idx="4">
                  <c:v>26259.390000000007</c:v>
                </c:pt>
                <c:pt idx="5">
                  <c:v>21789.539999999997</c:v>
                </c:pt>
                <c:pt idx="6">
                  <c:v>19419.499999999996</c:v>
                </c:pt>
                <c:pt idx="7">
                  <c:v>18659.620000000003</c:v>
                </c:pt>
                <c:pt idx="8">
                  <c:v>12769.729999999996</c:v>
                </c:pt>
              </c:numCache>
            </c:numRef>
          </c:val>
          <c:smooth val="0"/>
          <c:extLst>
            <c:ext xmlns:c16="http://schemas.microsoft.com/office/drawing/2014/chart" uri="{C3380CC4-5D6E-409C-BE32-E72D297353CC}">
              <c16:uniqueId val="{00000001-0B4D-4D3D-B435-5842525AA471}"/>
            </c:ext>
          </c:extLst>
        </c:ser>
        <c:ser>
          <c:idx val="2"/>
          <c:order val="2"/>
          <c:tx>
            <c:strRef>
              <c:f>Data_Analysis!$F$54:$F$55</c:f>
              <c:strCache>
                <c:ptCount val="1"/>
                <c:pt idx="0">
                  <c:v>Furniture</c:v>
                </c:pt>
              </c:strCache>
            </c:strRef>
          </c:tx>
          <c:spPr>
            <a:ln w="28575" cap="rnd">
              <a:solidFill>
                <a:schemeClr val="accent3"/>
              </a:solidFill>
              <a:round/>
            </a:ln>
            <a:effectLst/>
          </c:spPr>
          <c:marker>
            <c:symbol val="none"/>
          </c:marker>
          <c:cat>
            <c:strRef>
              <c:f>Data_Analysis!$C$56:$C$64</c:f>
              <c:strCache>
                <c:ptCount val="9"/>
                <c:pt idx="0">
                  <c:v>Apr</c:v>
                </c:pt>
                <c:pt idx="1">
                  <c:v>May</c:v>
                </c:pt>
                <c:pt idx="2">
                  <c:v>Jun</c:v>
                </c:pt>
                <c:pt idx="3">
                  <c:v>Jul</c:v>
                </c:pt>
                <c:pt idx="4">
                  <c:v>Aug</c:v>
                </c:pt>
                <c:pt idx="5">
                  <c:v>Sep</c:v>
                </c:pt>
                <c:pt idx="6">
                  <c:v>Oct</c:v>
                </c:pt>
                <c:pt idx="7">
                  <c:v>Nov</c:v>
                </c:pt>
                <c:pt idx="8">
                  <c:v>Dec</c:v>
                </c:pt>
              </c:strCache>
            </c:strRef>
          </c:cat>
          <c:val>
            <c:numRef>
              <c:f>Data_Analysis!$F$56:$F$64</c:f>
              <c:numCache>
                <c:formatCode>General</c:formatCode>
                <c:ptCount val="9"/>
                <c:pt idx="0">
                  <c:v>2699.82</c:v>
                </c:pt>
                <c:pt idx="1">
                  <c:v>6249.73</c:v>
                </c:pt>
                <c:pt idx="2">
                  <c:v>3849.83</c:v>
                </c:pt>
                <c:pt idx="3">
                  <c:v>5549.74</c:v>
                </c:pt>
                <c:pt idx="4">
                  <c:v>5799.75</c:v>
                </c:pt>
                <c:pt idx="5">
                  <c:v>5599.7100000000009</c:v>
                </c:pt>
                <c:pt idx="6">
                  <c:v>8899.6200000000008</c:v>
                </c:pt>
                <c:pt idx="7">
                  <c:v>8199.5999999999985</c:v>
                </c:pt>
                <c:pt idx="8">
                  <c:v>2249.88</c:v>
                </c:pt>
              </c:numCache>
            </c:numRef>
          </c:val>
          <c:smooth val="0"/>
          <c:extLst>
            <c:ext xmlns:c16="http://schemas.microsoft.com/office/drawing/2014/chart" uri="{C3380CC4-5D6E-409C-BE32-E72D297353CC}">
              <c16:uniqueId val="{00000002-0B4D-4D3D-B435-5842525AA471}"/>
            </c:ext>
          </c:extLst>
        </c:ser>
        <c:dLbls>
          <c:showLegendKey val="0"/>
          <c:showVal val="0"/>
          <c:showCatName val="0"/>
          <c:showSerName val="0"/>
          <c:showPercent val="0"/>
          <c:showBubbleSize val="0"/>
        </c:dLbls>
        <c:smooth val="0"/>
        <c:axId val="134474320"/>
        <c:axId val="134471440"/>
      </c:lineChart>
      <c:catAx>
        <c:axId val="13447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71440"/>
        <c:crosses val="autoZero"/>
        <c:auto val="1"/>
        <c:lblAlgn val="ctr"/>
        <c:lblOffset val="100"/>
        <c:noMultiLvlLbl val="0"/>
      </c:catAx>
      <c:valAx>
        <c:axId val="134471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7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[customer_transaction_analysis.xlsx]Data_Analysis!pmt_mode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Mode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Data_Analysis!$D$71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05-4238-A541-9FFACE5D81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BEC-4BF0-8047-7A531305DC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05-4238-A541-9FFACE5D81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05-4238-A541-9FFACE5D81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Data_Analysis!$C$72:$C$75</c:f>
              <c:strCache>
                <c:ptCount val="4"/>
                <c:pt idx="0">
                  <c:v>Cash</c:v>
                </c:pt>
                <c:pt idx="1">
                  <c:v>Credit Card</c:v>
                </c:pt>
                <c:pt idx="2">
                  <c:v>Debit Card</c:v>
                </c:pt>
                <c:pt idx="3">
                  <c:v>PayPal</c:v>
                </c:pt>
              </c:strCache>
            </c:strRef>
          </c:cat>
          <c:val>
            <c:numRef>
              <c:f>Data_Analysis!$D$72:$D$75</c:f>
              <c:numCache>
                <c:formatCode>General</c:formatCode>
                <c:ptCount val="4"/>
                <c:pt idx="0">
                  <c:v>76</c:v>
                </c:pt>
                <c:pt idx="1">
                  <c:v>68</c:v>
                </c:pt>
                <c:pt idx="2">
                  <c:v>54</c:v>
                </c:pt>
                <c:pt idx="3">
                  <c:v>52</c:v>
                </c:pt>
              </c:numCache>
            </c:numRef>
          </c:val>
          <c:extLst>
            <c:ext xmlns:c16="http://schemas.microsoft.com/office/drawing/2014/chart" uri="{C3380CC4-5D6E-409C-BE32-E72D297353CC}">
              <c16:uniqueId val="{00000000-BBEC-4BF0-8047-7A531305DC96}"/>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[customer_transaction_analysis.xlsx]Data_Analysis!qty_sold</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Qty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Data_Analysis!$D$89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Data_Analysis!$C$90:$C$99</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Data_Analysis!$D$90:$D$99</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828D-4D0B-8841-C9889B56D990}"/>
            </c:ext>
          </c:extLst>
        </c:ser>
        <c:dLbls>
          <c:dLblPos val="outEnd"/>
          <c:showLegendKey val="0"/>
          <c:showVal val="1"/>
          <c:showCatName val="0"/>
          <c:showSerName val="0"/>
          <c:showPercent val="0"/>
          <c:showBubbleSize val="0"/>
        </c:dLbls>
        <c:gapWidth val="219"/>
        <c:overlap val="-27"/>
        <c:axId val="1376874592"/>
        <c:axId val="1376875552"/>
      </c:barChart>
      <c:catAx>
        <c:axId val="137687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875552"/>
        <c:crosses val="autoZero"/>
        <c:auto val="1"/>
        <c:lblAlgn val="ctr"/>
        <c:lblOffset val="100"/>
        <c:noMultiLvlLbl val="0"/>
      </c:catAx>
      <c:valAx>
        <c:axId val="1376875552"/>
        <c:scaling>
          <c:orientation val="minMax"/>
        </c:scaling>
        <c:delete val="1"/>
        <c:axPos val="l"/>
        <c:numFmt formatCode="General" sourceLinked="1"/>
        <c:majorTickMark val="none"/>
        <c:minorTickMark val="none"/>
        <c:tickLblPos val="nextTo"/>
        <c:crossAx val="137687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[customer_transaction_analysis.xlsx]Data_Analysis!customer_segment_dist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Data_Analysis!$D$106:$D$107</c:f>
              <c:strCache>
                <c:ptCount val="1"/>
                <c:pt idx="0">
                  <c:v>Basic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Data_Analysis!$C$108:$C$112</c:f>
              <c:strCache>
                <c:ptCount val="5"/>
                <c:pt idx="0">
                  <c:v>Central</c:v>
                </c:pt>
                <c:pt idx="1">
                  <c:v>East</c:v>
                </c:pt>
                <c:pt idx="2">
                  <c:v>North</c:v>
                </c:pt>
                <c:pt idx="3">
                  <c:v>South</c:v>
                </c:pt>
                <c:pt idx="4">
                  <c:v>West</c:v>
                </c:pt>
              </c:strCache>
            </c:strRef>
          </c:cat>
          <c:val>
            <c:numRef>
              <c:f>Data_Analysis!$D$108:$D$112</c:f>
              <c:numCache>
                <c:formatCode>General</c:formatCode>
                <c:ptCount val="5"/>
                <c:pt idx="0">
                  <c:v>18</c:v>
                </c:pt>
                <c:pt idx="1">
                  <c:v>10</c:v>
                </c:pt>
                <c:pt idx="2">
                  <c:v>16</c:v>
                </c:pt>
                <c:pt idx="3">
                  <c:v>16</c:v>
                </c:pt>
                <c:pt idx="4">
                  <c:v>14</c:v>
                </c:pt>
              </c:numCache>
            </c:numRef>
          </c:val>
          <c:extLst>
            <c:ext xmlns:c16="http://schemas.microsoft.com/office/drawing/2014/chart" uri="{C3380CC4-5D6E-409C-BE32-E72D297353CC}">
              <c16:uniqueId val="{00000000-EEDF-4ECA-A1C7-64B3404D4C6E}"/>
            </c:ext>
          </c:extLst>
        </c:ser>
        <c:ser>
          <c:idx val="1"/>
          <c:order val="1"/>
          <c:tx>
            <c:strRef>
              <c:f>Data_Analysis!$E$106:$E$107</c:f>
              <c:strCache>
                <c:ptCount val="1"/>
                <c:pt idx="0">
                  <c:v>Premium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Data_Analysis!$C$108:$C$112</c:f>
              <c:strCache>
                <c:ptCount val="5"/>
                <c:pt idx="0">
                  <c:v>Central</c:v>
                </c:pt>
                <c:pt idx="1">
                  <c:v>East</c:v>
                </c:pt>
                <c:pt idx="2">
                  <c:v>North</c:v>
                </c:pt>
                <c:pt idx="3">
                  <c:v>South</c:v>
                </c:pt>
                <c:pt idx="4">
                  <c:v>West</c:v>
                </c:pt>
              </c:strCache>
            </c:strRef>
          </c:cat>
          <c:val>
            <c:numRef>
              <c:f>Data_Analysis!$E$108:$E$112</c:f>
              <c:numCache>
                <c:formatCode>General</c:formatCode>
                <c:ptCount val="5"/>
                <c:pt idx="0">
                  <c:v>22</c:v>
                </c:pt>
                <c:pt idx="1">
                  <c:v>16</c:v>
                </c:pt>
                <c:pt idx="2">
                  <c:v>29</c:v>
                </c:pt>
                <c:pt idx="3">
                  <c:v>10</c:v>
                </c:pt>
                <c:pt idx="4">
                  <c:v>18</c:v>
                </c:pt>
              </c:numCache>
            </c:numRef>
          </c:val>
          <c:extLst>
            <c:ext xmlns:c16="http://schemas.microsoft.com/office/drawing/2014/chart" uri="{C3380CC4-5D6E-409C-BE32-E72D297353CC}">
              <c16:uniqueId val="{00000001-EEDF-4ECA-A1C7-64B3404D4C6E}"/>
            </c:ext>
          </c:extLst>
        </c:ser>
        <c:ser>
          <c:idx val="2"/>
          <c:order val="2"/>
          <c:tx>
            <c:strRef>
              <c:f>Data_Analysis!$F$106:$F$107</c:f>
              <c:strCache>
                <c:ptCount val="1"/>
                <c:pt idx="0">
                  <c:v>Standard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Data_Analysis!$C$108:$C$112</c:f>
              <c:strCache>
                <c:ptCount val="5"/>
                <c:pt idx="0">
                  <c:v>Central</c:v>
                </c:pt>
                <c:pt idx="1">
                  <c:v>East</c:v>
                </c:pt>
                <c:pt idx="2">
                  <c:v>North</c:v>
                </c:pt>
                <c:pt idx="3">
                  <c:v>South</c:v>
                </c:pt>
                <c:pt idx="4">
                  <c:v>West</c:v>
                </c:pt>
              </c:strCache>
            </c:strRef>
          </c:cat>
          <c:val>
            <c:numRef>
              <c:f>Data_Analysis!$F$108:$F$112</c:f>
              <c:numCache>
                <c:formatCode>General</c:formatCode>
                <c:ptCount val="5"/>
                <c:pt idx="0">
                  <c:v>14</c:v>
                </c:pt>
                <c:pt idx="1">
                  <c:v>22</c:v>
                </c:pt>
                <c:pt idx="2">
                  <c:v>14</c:v>
                </c:pt>
                <c:pt idx="3">
                  <c:v>16</c:v>
                </c:pt>
                <c:pt idx="4">
                  <c:v>15</c:v>
                </c:pt>
              </c:numCache>
            </c:numRef>
          </c:val>
          <c:extLst>
            <c:ext xmlns:c16="http://schemas.microsoft.com/office/drawing/2014/chart" uri="{C3380CC4-5D6E-409C-BE32-E72D297353CC}">
              <c16:uniqueId val="{00000002-EEDF-4ECA-A1C7-64B3404D4C6E}"/>
            </c:ext>
          </c:extLst>
        </c:ser>
        <c:dLbls>
          <c:dLblPos val="outEnd"/>
          <c:showLegendKey val="0"/>
          <c:showVal val="1"/>
          <c:showCatName val="0"/>
          <c:showSerName val="0"/>
          <c:showPercent val="0"/>
          <c:showBubbleSize val="0"/>
        </c:dLbls>
        <c:gapWidth val="219"/>
        <c:overlap val="-27"/>
        <c:axId val="358225984"/>
        <c:axId val="358226464"/>
      </c:barChart>
      <c:catAx>
        <c:axId val="35822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226464"/>
        <c:crosses val="autoZero"/>
        <c:auto val="1"/>
        <c:lblAlgn val="ctr"/>
        <c:lblOffset val="100"/>
        <c:noMultiLvlLbl val="0"/>
      </c:catAx>
      <c:valAx>
        <c:axId val="358226464"/>
        <c:scaling>
          <c:orientation val="minMax"/>
        </c:scaling>
        <c:delete val="1"/>
        <c:axPos val="l"/>
        <c:numFmt formatCode="General" sourceLinked="1"/>
        <c:majorTickMark val="none"/>
        <c:minorTickMark val="none"/>
        <c:tickLblPos val="nextTo"/>
        <c:crossAx val="35822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[customer_transaction_analysis.xlsx]Data_Analysis!category_sales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Data_Analysis!$D$124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24-4D0A-87E3-1AC0A98DB7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24-4D0A-87E3-1AC0A98DB7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24-4D0A-87E3-1AC0A98DB7A7}"/>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Data_Analysis!$C$125:$C$127</c:f>
              <c:strCache>
                <c:ptCount val="3"/>
                <c:pt idx="0">
                  <c:v>Appliances</c:v>
                </c:pt>
                <c:pt idx="1">
                  <c:v>Electronics</c:v>
                </c:pt>
                <c:pt idx="2">
                  <c:v>Furniture</c:v>
                </c:pt>
              </c:strCache>
            </c:strRef>
          </c:cat>
          <c:val>
            <c:numRef>
              <c:f>Data_Analysis!$D$125:$D$127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B4BB-40D3-B328-4F16C1F0E869}"/>
            </c:ext>
          </c:extLst>
        </c:ser>
        <c:dLbls>
          <c:showLegendKey val="0"/>
          <c:showVal val="0"/>
          <c:showCatName val="0"/>
          <c:showSerName val="0"/>
          <c:showPercent val="0"/>
          <c:showBubbleSize val="0"/>
          <c:showLeaderLines val="0"/>
        </c:dLbls>
        <c:firstSliceAng val="0"/>
        <c:holeSize val="5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4.xml"/><Relationship Id="rId3" Type="http://schemas.openxmlformats.org/officeDocument/2006/relationships/image" Target="../media/image2.svg"/><Relationship Id="rId7" Type="http://schemas.openxmlformats.org/officeDocument/2006/relationships/hyperlink" Target="#Data_Analysis!A1"/><Relationship Id="rId12"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hyperlink" Target="#'Raw Data'!A1"/><Relationship Id="rId6" Type="http://schemas.openxmlformats.org/officeDocument/2006/relationships/image" Target="../media/image4.svg"/><Relationship Id="rId11" Type="http://schemas.openxmlformats.org/officeDocument/2006/relationships/chart" Target="../charts/chart2.xml"/><Relationship Id="rId5" Type="http://schemas.openxmlformats.org/officeDocument/2006/relationships/image" Target="../media/image3.png"/><Relationship Id="rId15" Type="http://schemas.openxmlformats.org/officeDocument/2006/relationships/chart" Target="../charts/chart6.xml"/><Relationship Id="rId10" Type="http://schemas.openxmlformats.org/officeDocument/2006/relationships/chart" Target="../charts/chart1.xml"/><Relationship Id="rId4" Type="http://schemas.openxmlformats.org/officeDocument/2006/relationships/hyperlink" Target="#Dashboard!A1"/><Relationship Id="rId9" Type="http://schemas.openxmlformats.org/officeDocument/2006/relationships/image" Target="../media/image6.svg"/><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Data_Analysis!A1"/><Relationship Id="rId3" Type="http://schemas.openxmlformats.org/officeDocument/2006/relationships/chart" Target="../charts/chart9.xml"/><Relationship Id="rId7" Type="http://schemas.openxmlformats.org/officeDocument/2006/relationships/hyperlink" Target="#'Raw Data'!A1"/><Relationship Id="rId12" Type="http://schemas.openxmlformats.org/officeDocument/2006/relationships/image" Target="../media/image4.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3.png"/><Relationship Id="rId5" Type="http://schemas.openxmlformats.org/officeDocument/2006/relationships/chart" Target="../charts/chart11.xml"/><Relationship Id="rId15" Type="http://schemas.openxmlformats.org/officeDocument/2006/relationships/image" Target="../media/image6.svg"/><Relationship Id="rId10" Type="http://schemas.openxmlformats.org/officeDocument/2006/relationships/hyperlink" Target="#Dashboard!A1"/><Relationship Id="rId4" Type="http://schemas.openxmlformats.org/officeDocument/2006/relationships/chart" Target="../charts/chart10.xml"/><Relationship Id="rId9" Type="http://schemas.openxmlformats.org/officeDocument/2006/relationships/image" Target="../media/image2.svg"/><Relationship Id="rId1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Data_Analysis!A1"/><Relationship Id="rId2" Type="http://schemas.openxmlformats.org/officeDocument/2006/relationships/image" Target="../media/image1.png"/><Relationship Id="rId1" Type="http://schemas.openxmlformats.org/officeDocument/2006/relationships/hyperlink" Target="#'Raw Data'!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Dashboard!A1"/><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19</xdr:col>
      <xdr:colOff>304800</xdr:colOff>
      <xdr:row>3</xdr:row>
      <xdr:rowOff>22860</xdr:rowOff>
    </xdr:to>
    <xdr:sp macro="" textlink="">
      <xdr:nvSpPr>
        <xdr:cNvPr id="2" name="Rectangle 1">
          <a:extLst>
            <a:ext uri="{FF2B5EF4-FFF2-40B4-BE49-F238E27FC236}">
              <a16:creationId xmlns:a16="http://schemas.microsoft.com/office/drawing/2014/main" id="{717E1E5F-D6D4-4150-8E1F-1286489AB5BE}"/>
            </a:ext>
          </a:extLst>
        </xdr:cNvPr>
        <xdr:cNvSpPr/>
      </xdr:nvSpPr>
      <xdr:spPr>
        <a:xfrm>
          <a:off x="0" y="7620"/>
          <a:ext cx="11887200" cy="570411"/>
        </a:xfrm>
        <a:prstGeom prst="rect">
          <a:avLst/>
        </a:prstGeom>
        <a:solidFill>
          <a:srgbClr val="4F81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144780</xdr:colOff>
      <xdr:row>3</xdr:row>
      <xdr:rowOff>83820</xdr:rowOff>
    </xdr:from>
    <xdr:to>
      <xdr:col>3</xdr:col>
      <xdr:colOff>0</xdr:colOff>
      <xdr:row>7</xdr:row>
      <xdr:rowOff>15240</xdr:rowOff>
    </xdr:to>
    <xdr:grpSp>
      <xdr:nvGrpSpPr>
        <xdr:cNvPr id="4" name="Group 3">
          <a:extLst>
            <a:ext uri="{FF2B5EF4-FFF2-40B4-BE49-F238E27FC236}">
              <a16:creationId xmlns:a16="http://schemas.microsoft.com/office/drawing/2014/main" id="{0475F431-7694-4635-B2C7-206142C65806}"/>
            </a:ext>
          </a:extLst>
        </xdr:cNvPr>
        <xdr:cNvGrpSpPr/>
      </xdr:nvGrpSpPr>
      <xdr:grpSpPr>
        <a:xfrm>
          <a:off x="754380" y="638991"/>
          <a:ext cx="1074420" cy="671649"/>
          <a:chOff x="754380" y="632460"/>
          <a:chExt cx="1424940" cy="662940"/>
        </a:xfrm>
      </xdr:grpSpPr>
      <xdr:sp macro="" textlink="Data_Analysis!D141">
        <xdr:nvSpPr>
          <xdr:cNvPr id="5" name="Rectangle: Rounded Corners 4">
            <a:extLst>
              <a:ext uri="{FF2B5EF4-FFF2-40B4-BE49-F238E27FC236}">
                <a16:creationId xmlns:a16="http://schemas.microsoft.com/office/drawing/2014/main" id="{734CF051-1658-FE66-3528-23E059CC3CDA}"/>
              </a:ext>
            </a:extLst>
          </xdr:cNvPr>
          <xdr:cNvSpPr/>
        </xdr:nvSpPr>
        <xdr:spPr>
          <a:xfrm>
            <a:off x="754380" y="632460"/>
            <a:ext cx="1424940" cy="6629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73E1028C-5109-493C-8A9E-2DD8330BA53A}" type="TxLink">
              <a:rPr lang="en-US" sz="1400" b="0" i="0" u="none" strike="noStrike">
                <a:solidFill>
                  <a:srgbClr val="4F81BD"/>
                </a:solidFill>
                <a:latin typeface="Impact" panose="020B0806030902050204" pitchFamily="34" charset="0"/>
                <a:ea typeface="Calibri"/>
                <a:cs typeface="Calibri"/>
              </a:rPr>
              <a:pPr algn="l"/>
              <a:t> $229,192.5 </a:t>
            </a:fld>
            <a:endParaRPr lang="en-US" sz="1800">
              <a:solidFill>
                <a:srgbClr val="4F81BD"/>
              </a:solidFill>
              <a:latin typeface="Impact" panose="020B0806030902050204" pitchFamily="34" charset="0"/>
            </a:endParaRPr>
          </a:p>
        </xdr:txBody>
      </xdr:sp>
      <xdr:sp macro="" textlink="">
        <xdr:nvSpPr>
          <xdr:cNvPr id="6" name="TextBox 5">
            <a:extLst>
              <a:ext uri="{FF2B5EF4-FFF2-40B4-BE49-F238E27FC236}">
                <a16:creationId xmlns:a16="http://schemas.microsoft.com/office/drawing/2014/main" id="{3A6F324D-B9D9-4502-3BD2-8D2FB04F83A8}"/>
              </a:ext>
            </a:extLst>
          </xdr:cNvPr>
          <xdr:cNvSpPr txBox="1"/>
        </xdr:nvSpPr>
        <xdr:spPr>
          <a:xfrm>
            <a:off x="800100" y="693420"/>
            <a:ext cx="111252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ysClr val="windowText" lastClr="000000"/>
                </a:solidFill>
              </a:rPr>
              <a:t>Total Sales</a:t>
            </a:r>
          </a:p>
        </xdr:txBody>
      </xdr:sp>
    </xdr:grpSp>
    <xdr:clientData/>
  </xdr:twoCellAnchor>
  <xdr:twoCellAnchor>
    <xdr:from>
      <xdr:col>3</xdr:col>
      <xdr:colOff>111235</xdr:colOff>
      <xdr:row>3</xdr:row>
      <xdr:rowOff>83820</xdr:rowOff>
    </xdr:from>
    <xdr:to>
      <xdr:col>6</xdr:col>
      <xdr:colOff>78662</xdr:colOff>
      <xdr:row>7</xdr:row>
      <xdr:rowOff>15240</xdr:rowOff>
    </xdr:to>
    <xdr:grpSp>
      <xdr:nvGrpSpPr>
        <xdr:cNvPr id="7" name="Group 6">
          <a:extLst>
            <a:ext uri="{FF2B5EF4-FFF2-40B4-BE49-F238E27FC236}">
              <a16:creationId xmlns:a16="http://schemas.microsoft.com/office/drawing/2014/main" id="{9ED95012-3AA4-4D0F-A898-687D1528D37D}"/>
            </a:ext>
          </a:extLst>
        </xdr:cNvPr>
        <xdr:cNvGrpSpPr/>
      </xdr:nvGrpSpPr>
      <xdr:grpSpPr>
        <a:xfrm>
          <a:off x="1940035" y="638991"/>
          <a:ext cx="1796227" cy="671649"/>
          <a:chOff x="754380" y="632460"/>
          <a:chExt cx="1424940" cy="662940"/>
        </a:xfrm>
      </xdr:grpSpPr>
      <xdr:sp macro="" textlink="Data_Analysis!D144">
        <xdr:nvSpPr>
          <xdr:cNvPr id="8" name="Rectangle: Rounded Corners 7">
            <a:extLst>
              <a:ext uri="{FF2B5EF4-FFF2-40B4-BE49-F238E27FC236}">
                <a16:creationId xmlns:a16="http://schemas.microsoft.com/office/drawing/2014/main" id="{ADA1D136-500B-ACC1-FF80-FADF571421FE}"/>
              </a:ext>
            </a:extLst>
          </xdr:cNvPr>
          <xdr:cNvSpPr/>
        </xdr:nvSpPr>
        <xdr:spPr>
          <a:xfrm>
            <a:off x="754380" y="632460"/>
            <a:ext cx="1424940" cy="6629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8D1BEF9F-9C85-4767-9E57-DE938A614B92}" type="TxLink">
              <a:rPr lang="en-US" sz="1400" b="0" i="0" u="none" strike="noStrike">
                <a:solidFill>
                  <a:srgbClr val="4F81BD"/>
                </a:solidFill>
                <a:latin typeface="Impact" panose="020B0806030902050204" pitchFamily="34" charset="0"/>
                <a:ea typeface="Calibri"/>
                <a:cs typeface="Calibri"/>
              </a:rPr>
              <a:pPr algn="l"/>
              <a:t>East</a:t>
            </a:fld>
            <a:endParaRPr lang="en-US" sz="1800">
              <a:solidFill>
                <a:srgbClr val="4F81BD"/>
              </a:solidFill>
              <a:latin typeface="Impact" panose="020B0806030902050204" pitchFamily="34" charset="0"/>
            </a:endParaRPr>
          </a:p>
        </xdr:txBody>
      </xdr:sp>
      <xdr:sp macro="" textlink="">
        <xdr:nvSpPr>
          <xdr:cNvPr id="9" name="TextBox 8">
            <a:extLst>
              <a:ext uri="{FF2B5EF4-FFF2-40B4-BE49-F238E27FC236}">
                <a16:creationId xmlns:a16="http://schemas.microsoft.com/office/drawing/2014/main" id="{19F3BF17-A436-F5CB-B746-474ACDE0AC87}"/>
              </a:ext>
            </a:extLst>
          </xdr:cNvPr>
          <xdr:cNvSpPr txBox="1"/>
        </xdr:nvSpPr>
        <xdr:spPr>
          <a:xfrm>
            <a:off x="774359" y="693420"/>
            <a:ext cx="1070254"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Top Revenue Region</a:t>
            </a:r>
          </a:p>
        </xdr:txBody>
      </xdr:sp>
    </xdr:grpSp>
    <xdr:clientData/>
  </xdr:twoCellAnchor>
  <xdr:twoCellAnchor>
    <xdr:from>
      <xdr:col>4</xdr:col>
      <xdr:colOff>4687</xdr:colOff>
      <xdr:row>7</xdr:row>
      <xdr:rowOff>151311</xdr:rowOff>
    </xdr:from>
    <xdr:to>
      <xdr:col>6</xdr:col>
      <xdr:colOff>91440</xdr:colOff>
      <xdr:row>11</xdr:row>
      <xdr:rowOff>96882</xdr:rowOff>
    </xdr:to>
    <xdr:grpSp>
      <xdr:nvGrpSpPr>
        <xdr:cNvPr id="10" name="Group 9">
          <a:extLst>
            <a:ext uri="{FF2B5EF4-FFF2-40B4-BE49-F238E27FC236}">
              <a16:creationId xmlns:a16="http://schemas.microsoft.com/office/drawing/2014/main" id="{02AE4E71-2EBD-469A-9C2D-EAFE45E6B4B0}"/>
            </a:ext>
          </a:extLst>
        </xdr:cNvPr>
        <xdr:cNvGrpSpPr/>
      </xdr:nvGrpSpPr>
      <xdr:grpSpPr>
        <a:xfrm>
          <a:off x="2443087" y="1446711"/>
          <a:ext cx="1305953" cy="685800"/>
          <a:chOff x="754380" y="632460"/>
          <a:chExt cx="1424940" cy="662940"/>
        </a:xfrm>
      </xdr:grpSpPr>
      <xdr:sp macro="" textlink="Data_Analysis!D142">
        <xdr:nvSpPr>
          <xdr:cNvPr id="11" name="Rectangle: Rounded Corners 10">
            <a:extLst>
              <a:ext uri="{FF2B5EF4-FFF2-40B4-BE49-F238E27FC236}">
                <a16:creationId xmlns:a16="http://schemas.microsoft.com/office/drawing/2014/main" id="{F9EB05CC-D169-68E9-1538-B7F68A6525A0}"/>
              </a:ext>
            </a:extLst>
          </xdr:cNvPr>
          <xdr:cNvSpPr/>
        </xdr:nvSpPr>
        <xdr:spPr>
          <a:xfrm>
            <a:off x="754380" y="632460"/>
            <a:ext cx="1424940" cy="6629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87B85710-67C7-4727-8852-0FC78B427C32}" type="TxLink">
              <a:rPr lang="en-US" sz="1400" b="0" i="0" u="none" strike="noStrike">
                <a:solidFill>
                  <a:srgbClr val="4F81BD"/>
                </a:solidFill>
                <a:latin typeface="Impact" panose="020B0806030902050204" pitchFamily="34" charset="0"/>
                <a:ea typeface="Calibri"/>
                <a:cs typeface="Calibri"/>
              </a:rPr>
              <a:pPr algn="l"/>
              <a:t>753</a:t>
            </a:fld>
            <a:endParaRPr lang="en-US" sz="2400">
              <a:solidFill>
                <a:srgbClr val="4F81BD"/>
              </a:solidFill>
              <a:latin typeface="Impact" panose="020B0806030902050204" pitchFamily="34" charset="0"/>
            </a:endParaRPr>
          </a:p>
        </xdr:txBody>
      </xdr:sp>
      <xdr:sp macro="" textlink="">
        <xdr:nvSpPr>
          <xdr:cNvPr id="12" name="TextBox 11">
            <a:extLst>
              <a:ext uri="{FF2B5EF4-FFF2-40B4-BE49-F238E27FC236}">
                <a16:creationId xmlns:a16="http://schemas.microsoft.com/office/drawing/2014/main" id="{94373732-9C4E-64A8-5143-76DAAD20C8D9}"/>
              </a:ext>
            </a:extLst>
          </xdr:cNvPr>
          <xdr:cNvSpPr txBox="1"/>
        </xdr:nvSpPr>
        <xdr:spPr>
          <a:xfrm>
            <a:off x="789396" y="693420"/>
            <a:ext cx="1254553"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Total Qty</a:t>
            </a:r>
            <a:r>
              <a:rPr lang="en-US" sz="1100" b="0" baseline="0"/>
              <a:t> Sold</a:t>
            </a:r>
            <a:endParaRPr lang="en-US" sz="1100" b="0"/>
          </a:p>
        </xdr:txBody>
      </xdr:sp>
    </xdr:grpSp>
    <xdr:clientData/>
  </xdr:twoCellAnchor>
  <xdr:twoCellAnchor>
    <xdr:from>
      <xdr:col>1</xdr:col>
      <xdr:colOff>132218</xdr:colOff>
      <xdr:row>7</xdr:row>
      <xdr:rowOff>163285</xdr:rowOff>
    </xdr:from>
    <xdr:to>
      <xdr:col>3</xdr:col>
      <xdr:colOff>510540</xdr:colOff>
      <xdr:row>11</xdr:row>
      <xdr:rowOff>94705</xdr:rowOff>
    </xdr:to>
    <xdr:grpSp>
      <xdr:nvGrpSpPr>
        <xdr:cNvPr id="13" name="Group 12">
          <a:extLst>
            <a:ext uri="{FF2B5EF4-FFF2-40B4-BE49-F238E27FC236}">
              <a16:creationId xmlns:a16="http://schemas.microsoft.com/office/drawing/2014/main" id="{28FAFB7E-569F-4B3C-AA91-77255989A405}"/>
            </a:ext>
          </a:extLst>
        </xdr:cNvPr>
        <xdr:cNvGrpSpPr/>
      </xdr:nvGrpSpPr>
      <xdr:grpSpPr>
        <a:xfrm>
          <a:off x="741818" y="1458685"/>
          <a:ext cx="1597522" cy="671649"/>
          <a:chOff x="754380" y="632460"/>
          <a:chExt cx="1424940" cy="662940"/>
        </a:xfrm>
      </xdr:grpSpPr>
      <xdr:sp macro="" textlink="Data_Analysis!D143">
        <xdr:nvSpPr>
          <xdr:cNvPr id="14" name="Rectangle: Rounded Corners 13">
            <a:extLst>
              <a:ext uri="{FF2B5EF4-FFF2-40B4-BE49-F238E27FC236}">
                <a16:creationId xmlns:a16="http://schemas.microsoft.com/office/drawing/2014/main" id="{BD49B840-20B4-F5CE-38FC-AD8BFF04D65A}"/>
              </a:ext>
            </a:extLst>
          </xdr:cNvPr>
          <xdr:cNvSpPr/>
        </xdr:nvSpPr>
        <xdr:spPr>
          <a:xfrm>
            <a:off x="754380" y="632460"/>
            <a:ext cx="1424940" cy="6629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1F8FDB75-FB6B-4BEE-9C1B-1AE44ACC6750}" type="TxLink">
              <a:rPr lang="en-US" sz="1400" b="0" i="0" u="none" strike="noStrike">
                <a:solidFill>
                  <a:srgbClr val="4F81BD"/>
                </a:solidFill>
                <a:latin typeface="Impact" panose="020B0806030902050204" pitchFamily="34" charset="0"/>
                <a:ea typeface="Calibri"/>
                <a:cs typeface="Calibri"/>
              </a:rPr>
              <a:pPr algn="l"/>
              <a:t>Cash</a:t>
            </a:fld>
            <a:endParaRPr lang="en-US" sz="2400">
              <a:solidFill>
                <a:srgbClr val="4F81BD"/>
              </a:solidFill>
              <a:latin typeface="Impact" panose="020B0806030902050204" pitchFamily="34" charset="0"/>
            </a:endParaRPr>
          </a:p>
        </xdr:txBody>
      </xdr:sp>
      <xdr:sp macro="" textlink="">
        <xdr:nvSpPr>
          <xdr:cNvPr id="15" name="TextBox 14">
            <a:extLst>
              <a:ext uri="{FF2B5EF4-FFF2-40B4-BE49-F238E27FC236}">
                <a16:creationId xmlns:a16="http://schemas.microsoft.com/office/drawing/2014/main" id="{B7A61FB7-B168-A726-3859-88992809F872}"/>
              </a:ext>
            </a:extLst>
          </xdr:cNvPr>
          <xdr:cNvSpPr txBox="1"/>
        </xdr:nvSpPr>
        <xdr:spPr>
          <a:xfrm>
            <a:off x="782513" y="693420"/>
            <a:ext cx="1351085"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Most Used Payment</a:t>
            </a:r>
          </a:p>
        </xdr:txBody>
      </xdr:sp>
    </xdr:grpSp>
    <xdr:clientData/>
  </xdr:twoCellAnchor>
  <xdr:twoCellAnchor editAs="oneCell">
    <xdr:from>
      <xdr:col>0</xdr:col>
      <xdr:colOff>0</xdr:colOff>
      <xdr:row>19</xdr:row>
      <xdr:rowOff>60960</xdr:rowOff>
    </xdr:from>
    <xdr:to>
      <xdr:col>1</xdr:col>
      <xdr:colOff>22860</xdr:colOff>
      <xdr:row>22</xdr:row>
      <xdr:rowOff>144780</xdr:rowOff>
    </xdr:to>
    <xdr:pic>
      <xdr:nvPicPr>
        <xdr:cNvPr id="22" name="Graphic 21" descr="Database">
          <a:hlinkClick xmlns:r="http://schemas.openxmlformats.org/officeDocument/2006/relationships" r:id="rId1"/>
          <a:extLst>
            <a:ext uri="{FF2B5EF4-FFF2-40B4-BE49-F238E27FC236}">
              <a16:creationId xmlns:a16="http://schemas.microsoft.com/office/drawing/2014/main" id="{923C3FF6-7F67-4514-BFE8-AE7CDCE64D0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3535680"/>
          <a:ext cx="632460" cy="632460"/>
        </a:xfrm>
        <a:prstGeom prst="rect">
          <a:avLst/>
        </a:prstGeom>
      </xdr:spPr>
    </xdr:pic>
    <xdr:clientData/>
  </xdr:twoCellAnchor>
  <xdr:twoCellAnchor editAs="oneCell">
    <xdr:from>
      <xdr:col>0</xdr:col>
      <xdr:colOff>0</xdr:colOff>
      <xdr:row>7</xdr:row>
      <xdr:rowOff>50940</xdr:rowOff>
    </xdr:from>
    <xdr:to>
      <xdr:col>1</xdr:col>
      <xdr:colOff>40500</xdr:colOff>
      <xdr:row>10</xdr:row>
      <xdr:rowOff>152400</xdr:rowOff>
    </xdr:to>
    <xdr:pic>
      <xdr:nvPicPr>
        <xdr:cNvPr id="23" name="Graphic 22" descr="Presentation with bar chart RTL">
          <a:hlinkClick xmlns:r="http://schemas.openxmlformats.org/officeDocument/2006/relationships" r:id="rId4"/>
          <a:extLst>
            <a:ext uri="{FF2B5EF4-FFF2-40B4-BE49-F238E27FC236}">
              <a16:creationId xmlns:a16="http://schemas.microsoft.com/office/drawing/2014/main" id="{AA7C93AA-AF0B-434B-9B97-DF015773C9E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1331100"/>
          <a:ext cx="650100" cy="650100"/>
        </a:xfrm>
        <a:prstGeom prst="rect">
          <a:avLst/>
        </a:prstGeom>
      </xdr:spPr>
    </xdr:pic>
    <xdr:clientData/>
  </xdr:twoCellAnchor>
  <xdr:twoCellAnchor editAs="oneCell">
    <xdr:from>
      <xdr:col>0</xdr:col>
      <xdr:colOff>7620</xdr:colOff>
      <xdr:row>13</xdr:row>
      <xdr:rowOff>66180</xdr:rowOff>
    </xdr:from>
    <xdr:to>
      <xdr:col>1</xdr:col>
      <xdr:colOff>27660</xdr:colOff>
      <xdr:row>16</xdr:row>
      <xdr:rowOff>147180</xdr:rowOff>
    </xdr:to>
    <xdr:pic>
      <xdr:nvPicPr>
        <xdr:cNvPr id="24" name="Graphic 23" descr="Head with gears">
          <a:hlinkClick xmlns:r="http://schemas.openxmlformats.org/officeDocument/2006/relationships" r:id="rId7"/>
          <a:extLst>
            <a:ext uri="{FF2B5EF4-FFF2-40B4-BE49-F238E27FC236}">
              <a16:creationId xmlns:a16="http://schemas.microsoft.com/office/drawing/2014/main" id="{277BE507-CE45-491A-9F1D-7C8042D0359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620" y="2443620"/>
          <a:ext cx="629640" cy="629640"/>
        </a:xfrm>
        <a:prstGeom prst="rect">
          <a:avLst/>
        </a:prstGeom>
      </xdr:spPr>
    </xdr:pic>
    <xdr:clientData/>
  </xdr:twoCellAnchor>
  <xdr:oneCellAnchor>
    <xdr:from>
      <xdr:col>1</xdr:col>
      <xdr:colOff>286504</xdr:colOff>
      <xdr:row>0</xdr:row>
      <xdr:rowOff>0</xdr:rowOff>
    </xdr:from>
    <xdr:ext cx="9814162" cy="655885"/>
    <xdr:sp macro="" textlink="">
      <xdr:nvSpPr>
        <xdr:cNvPr id="25" name="Rectangle 24">
          <a:extLst>
            <a:ext uri="{FF2B5EF4-FFF2-40B4-BE49-F238E27FC236}">
              <a16:creationId xmlns:a16="http://schemas.microsoft.com/office/drawing/2014/main" id="{F301F555-1846-037B-3E9E-F6AF648F05C9}"/>
            </a:ext>
          </a:extLst>
        </xdr:cNvPr>
        <xdr:cNvSpPr/>
      </xdr:nvSpPr>
      <xdr:spPr>
        <a:xfrm>
          <a:off x="896104" y="0"/>
          <a:ext cx="9814162" cy="655885"/>
        </a:xfrm>
        <a:prstGeom prst="rect">
          <a:avLst/>
        </a:prstGeom>
        <a:noFill/>
      </xdr:spPr>
      <xdr:txBody>
        <a:bodyPr wrap="none" lIns="91440" tIns="45720" rIns="91440" bIns="45720">
          <a:spAutoFit/>
        </a:bodyPr>
        <a:lstStyle/>
        <a:p>
          <a:pPr algn="ctr"/>
          <a:r>
            <a:rPr lang="en-US" sz="3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CUSTOMER TRANSACTION ANALYSIS DASHBOARD</a:t>
          </a:r>
        </a:p>
      </xdr:txBody>
    </xdr:sp>
    <xdr:clientData/>
  </xdr:oneCellAnchor>
  <xdr:twoCellAnchor>
    <xdr:from>
      <xdr:col>1</xdr:col>
      <xdr:colOff>128451</xdr:colOff>
      <xdr:row>27</xdr:row>
      <xdr:rowOff>142603</xdr:rowOff>
    </xdr:from>
    <xdr:to>
      <xdr:col>7</xdr:col>
      <xdr:colOff>182880</xdr:colOff>
      <xdr:row>40</xdr:row>
      <xdr:rowOff>64225</xdr:rowOff>
    </xdr:to>
    <xdr:graphicFrame macro="">
      <xdr:nvGraphicFramePr>
        <xdr:cNvPr id="26" name="Chart 25">
          <a:extLst>
            <a:ext uri="{FF2B5EF4-FFF2-40B4-BE49-F238E27FC236}">
              <a16:creationId xmlns:a16="http://schemas.microsoft.com/office/drawing/2014/main" id="{36168F1A-20C6-4BDC-8738-3E00011BF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119743</xdr:colOff>
      <xdr:row>13</xdr:row>
      <xdr:rowOff>43543</xdr:rowOff>
    </xdr:from>
    <xdr:to>
      <xdr:col>8</xdr:col>
      <xdr:colOff>248194</xdr:colOff>
      <xdr:row>26</xdr:row>
      <xdr:rowOff>154577</xdr:rowOff>
    </xdr:to>
    <xdr:graphicFrame macro="">
      <xdr:nvGraphicFramePr>
        <xdr:cNvPr id="27" name="Chart 26">
          <a:extLst>
            <a:ext uri="{FF2B5EF4-FFF2-40B4-BE49-F238E27FC236}">
              <a16:creationId xmlns:a16="http://schemas.microsoft.com/office/drawing/2014/main" id="{13733017-8D1C-4919-8E77-3AEF925B3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531223</xdr:colOff>
      <xdr:row>13</xdr:row>
      <xdr:rowOff>60960</xdr:rowOff>
    </xdr:from>
    <xdr:to>
      <xdr:col>19</xdr:col>
      <xdr:colOff>297180</xdr:colOff>
      <xdr:row>26</xdr:row>
      <xdr:rowOff>165462</xdr:rowOff>
    </xdr:to>
    <xdr:graphicFrame macro="">
      <xdr:nvGraphicFramePr>
        <xdr:cNvPr id="28" name="Chart 27">
          <a:extLst>
            <a:ext uri="{FF2B5EF4-FFF2-40B4-BE49-F238E27FC236}">
              <a16:creationId xmlns:a16="http://schemas.microsoft.com/office/drawing/2014/main" id="{C877E5AD-413E-4671-87BB-1FB318178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476794</xdr:colOff>
      <xdr:row>13</xdr:row>
      <xdr:rowOff>37012</xdr:rowOff>
    </xdr:from>
    <xdr:to>
      <xdr:col>14</xdr:col>
      <xdr:colOff>280851</xdr:colOff>
      <xdr:row>26</xdr:row>
      <xdr:rowOff>143692</xdr:rowOff>
    </xdr:to>
    <xdr:graphicFrame macro="">
      <xdr:nvGraphicFramePr>
        <xdr:cNvPr id="29" name="Chart 28">
          <a:extLst>
            <a:ext uri="{FF2B5EF4-FFF2-40B4-BE49-F238E27FC236}">
              <a16:creationId xmlns:a16="http://schemas.microsoft.com/office/drawing/2014/main" id="{59F20F5E-DE98-4E23-83BE-7112B5A9B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465909</xdr:colOff>
      <xdr:row>27</xdr:row>
      <xdr:rowOff>140425</xdr:rowOff>
    </xdr:from>
    <xdr:to>
      <xdr:col>19</xdr:col>
      <xdr:colOff>289560</xdr:colOff>
      <xdr:row>40</xdr:row>
      <xdr:rowOff>48985</xdr:rowOff>
    </xdr:to>
    <xdr:graphicFrame macro="">
      <xdr:nvGraphicFramePr>
        <xdr:cNvPr id="30" name="Chart 29">
          <a:extLst>
            <a:ext uri="{FF2B5EF4-FFF2-40B4-BE49-F238E27FC236}">
              <a16:creationId xmlns:a16="http://schemas.microsoft.com/office/drawing/2014/main" id="{1F5E87AD-592E-4E97-8531-401BE1CA9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411479</xdr:colOff>
      <xdr:row>27</xdr:row>
      <xdr:rowOff>141513</xdr:rowOff>
    </xdr:from>
    <xdr:to>
      <xdr:col>12</xdr:col>
      <xdr:colOff>237308</xdr:colOff>
      <xdr:row>40</xdr:row>
      <xdr:rowOff>64225</xdr:rowOff>
    </xdr:to>
    <xdr:graphicFrame macro="">
      <xdr:nvGraphicFramePr>
        <xdr:cNvPr id="31" name="Chart 30">
          <a:extLst>
            <a:ext uri="{FF2B5EF4-FFF2-40B4-BE49-F238E27FC236}">
              <a16:creationId xmlns:a16="http://schemas.microsoft.com/office/drawing/2014/main" id="{E814FF16-1904-4F2B-89BC-409E34F14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6</xdr:col>
      <xdr:colOff>189897</xdr:colOff>
      <xdr:row>3</xdr:row>
      <xdr:rowOff>91440</xdr:rowOff>
    </xdr:from>
    <xdr:to>
      <xdr:col>9</xdr:col>
      <xdr:colOff>588314</xdr:colOff>
      <xdr:row>11</xdr:row>
      <xdr:rowOff>114300</xdr:rowOff>
    </xdr:to>
    <mc:AlternateContent xmlns:mc="http://schemas.openxmlformats.org/markup-compatibility/2006" xmlns:tsle="http://schemas.microsoft.com/office/drawing/2012/timeslicer">
      <mc:Choice Requires="tsle">
        <xdr:graphicFrame macro="">
          <xdr:nvGraphicFramePr>
            <xdr:cNvPr id="32" name="Date">
              <a:extLst>
                <a:ext uri="{FF2B5EF4-FFF2-40B4-BE49-F238E27FC236}">
                  <a16:creationId xmlns:a16="http://schemas.microsoft.com/office/drawing/2014/main" id="{E08F85F7-1281-5199-98D4-2B65429B6AD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847497" y="640080"/>
              <a:ext cx="2227217" cy="1485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89949</xdr:colOff>
      <xdr:row>3</xdr:row>
      <xdr:rowOff>91440</xdr:rowOff>
    </xdr:from>
    <xdr:to>
      <xdr:col>13</xdr:col>
      <xdr:colOff>89949</xdr:colOff>
      <xdr:row>9</xdr:row>
      <xdr:rowOff>160020</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29896B6D-3D70-5D43-3E40-0E7EAD87F09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185949" y="640080"/>
              <a:ext cx="182880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201184</xdr:colOff>
      <xdr:row>3</xdr:row>
      <xdr:rowOff>60961</xdr:rowOff>
    </xdr:from>
    <xdr:to>
      <xdr:col>16</xdr:col>
      <xdr:colOff>201184</xdr:colOff>
      <xdr:row>12</xdr:row>
      <xdr:rowOff>137160</xdr:rowOff>
    </xdr:to>
    <mc:AlternateContent xmlns:mc="http://schemas.openxmlformats.org/markup-compatibility/2006" xmlns:a14="http://schemas.microsoft.com/office/drawing/2010/main">
      <mc:Choice Requires="a14">
        <xdr:graphicFrame macro="">
          <xdr:nvGraphicFramePr>
            <xdr:cNvPr id="34" name="Region">
              <a:extLst>
                <a:ext uri="{FF2B5EF4-FFF2-40B4-BE49-F238E27FC236}">
                  <a16:creationId xmlns:a16="http://schemas.microsoft.com/office/drawing/2014/main" id="{9009D5F2-38DD-FC6E-9043-815132CC8E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25984" y="609601"/>
              <a:ext cx="1828800" cy="1722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312420</xdr:colOff>
      <xdr:row>3</xdr:row>
      <xdr:rowOff>68581</xdr:rowOff>
    </xdr:from>
    <xdr:to>
      <xdr:col>19</xdr:col>
      <xdr:colOff>312420</xdr:colOff>
      <xdr:row>9</xdr:row>
      <xdr:rowOff>121921</xdr:rowOff>
    </xdr:to>
    <mc:AlternateContent xmlns:mc="http://schemas.openxmlformats.org/markup-compatibility/2006" xmlns:a14="http://schemas.microsoft.com/office/drawing/2010/main">
      <mc:Choice Requires="a14">
        <xdr:graphicFrame macro="">
          <xdr:nvGraphicFramePr>
            <xdr:cNvPr id="35" name="Customer_Segment">
              <a:extLst>
                <a:ext uri="{FF2B5EF4-FFF2-40B4-BE49-F238E27FC236}">
                  <a16:creationId xmlns:a16="http://schemas.microsoft.com/office/drawing/2014/main" id="{B0F408D5-2A60-D857-898B-5CCAA420CEF2}"/>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0066020" y="617221"/>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243840</xdr:colOff>
      <xdr:row>35</xdr:row>
      <xdr:rowOff>175260</xdr:rowOff>
    </xdr:from>
    <xdr:to>
      <xdr:col>10</xdr:col>
      <xdr:colOff>129540</xdr:colOff>
      <xdr:row>48</xdr:row>
      <xdr:rowOff>129540</xdr:rowOff>
    </xdr:to>
    <xdr:graphicFrame macro="">
      <xdr:nvGraphicFramePr>
        <xdr:cNvPr id="2" name="Chart 1">
          <a:extLst>
            <a:ext uri="{FF2B5EF4-FFF2-40B4-BE49-F238E27FC236}">
              <a16:creationId xmlns:a16="http://schemas.microsoft.com/office/drawing/2014/main" id="{2BEA1D86-6E39-0C32-911B-50461879B9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236220</xdr:colOff>
      <xdr:row>50</xdr:row>
      <xdr:rowOff>163830</xdr:rowOff>
    </xdr:from>
    <xdr:to>
      <xdr:col>11</xdr:col>
      <xdr:colOff>68580</xdr:colOff>
      <xdr:row>65</xdr:row>
      <xdr:rowOff>163830</xdr:rowOff>
    </xdr:to>
    <xdr:graphicFrame macro="">
      <xdr:nvGraphicFramePr>
        <xdr:cNvPr id="3" name="Chart 2">
          <a:extLst>
            <a:ext uri="{FF2B5EF4-FFF2-40B4-BE49-F238E27FC236}">
              <a16:creationId xmlns:a16="http://schemas.microsoft.com/office/drawing/2014/main" id="{CC2DBA57-D739-DA82-E3F7-6D38C4795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457200</xdr:colOff>
      <xdr:row>67</xdr:row>
      <xdr:rowOff>171450</xdr:rowOff>
    </xdr:from>
    <xdr:to>
      <xdr:col>9</xdr:col>
      <xdr:colOff>312420</xdr:colOff>
      <xdr:row>82</xdr:row>
      <xdr:rowOff>171450</xdr:rowOff>
    </xdr:to>
    <xdr:graphicFrame macro="">
      <xdr:nvGraphicFramePr>
        <xdr:cNvPr id="4" name="Chart 3">
          <a:extLst>
            <a:ext uri="{FF2B5EF4-FFF2-40B4-BE49-F238E27FC236}">
              <a16:creationId xmlns:a16="http://schemas.microsoft.com/office/drawing/2014/main" id="{88C18D9D-E396-4FFF-E3D5-6A59824A6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457200</xdr:colOff>
      <xdr:row>86</xdr:row>
      <xdr:rowOff>3810</xdr:rowOff>
    </xdr:from>
    <xdr:to>
      <xdr:col>9</xdr:col>
      <xdr:colOff>838200</xdr:colOff>
      <xdr:row>101</xdr:row>
      <xdr:rowOff>3810</xdr:rowOff>
    </xdr:to>
    <xdr:graphicFrame macro="">
      <xdr:nvGraphicFramePr>
        <xdr:cNvPr id="5" name="Chart 4">
          <a:extLst>
            <a:ext uri="{FF2B5EF4-FFF2-40B4-BE49-F238E27FC236}">
              <a16:creationId xmlns:a16="http://schemas.microsoft.com/office/drawing/2014/main" id="{B868F2FA-8B7B-8FA3-EE9A-0B1D6FF3E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213360</xdr:colOff>
      <xdr:row>102</xdr:row>
      <xdr:rowOff>171450</xdr:rowOff>
    </xdr:from>
    <xdr:to>
      <xdr:col>11</xdr:col>
      <xdr:colOff>45720</xdr:colOff>
      <xdr:row>117</xdr:row>
      <xdr:rowOff>171450</xdr:rowOff>
    </xdr:to>
    <xdr:graphicFrame macro="">
      <xdr:nvGraphicFramePr>
        <xdr:cNvPr id="6" name="Chart 5">
          <a:extLst>
            <a:ext uri="{FF2B5EF4-FFF2-40B4-BE49-F238E27FC236}">
              <a16:creationId xmlns:a16="http://schemas.microsoft.com/office/drawing/2014/main" id="{A43E4573-268C-F018-84BB-94F05DF66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533400</xdr:colOff>
      <xdr:row>121</xdr:row>
      <xdr:rowOff>7620</xdr:rowOff>
    </xdr:from>
    <xdr:to>
      <xdr:col>9</xdr:col>
      <xdr:colOff>640080</xdr:colOff>
      <xdr:row>135</xdr:row>
      <xdr:rowOff>34290</xdr:rowOff>
    </xdr:to>
    <xdr:graphicFrame macro="">
      <xdr:nvGraphicFramePr>
        <xdr:cNvPr id="7" name="Chart 6">
          <a:extLst>
            <a:ext uri="{FF2B5EF4-FFF2-40B4-BE49-F238E27FC236}">
              <a16:creationId xmlns:a16="http://schemas.microsoft.com/office/drawing/2014/main" id="{EE08DAE1-997C-413C-4439-66C8FD24B3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1</xdr:rowOff>
    </xdr:from>
    <xdr:to>
      <xdr:col>11</xdr:col>
      <xdr:colOff>7620</xdr:colOff>
      <xdr:row>3</xdr:row>
      <xdr:rowOff>152401</xdr:rowOff>
    </xdr:to>
    <xdr:grpSp>
      <xdr:nvGrpSpPr>
        <xdr:cNvPr id="13" name="Group 12">
          <a:extLst>
            <a:ext uri="{FF2B5EF4-FFF2-40B4-BE49-F238E27FC236}">
              <a16:creationId xmlns:a16="http://schemas.microsoft.com/office/drawing/2014/main" id="{7336D943-1411-201A-56A7-862B0F7207A7}"/>
            </a:ext>
          </a:extLst>
        </xdr:cNvPr>
        <xdr:cNvGrpSpPr/>
      </xdr:nvGrpSpPr>
      <xdr:grpSpPr>
        <a:xfrm>
          <a:off x="0" y="1"/>
          <a:ext cx="10881360" cy="701040"/>
          <a:chOff x="0" y="0"/>
          <a:chExt cx="10904220" cy="655885"/>
        </a:xfrm>
      </xdr:grpSpPr>
      <xdr:sp macro="" textlink="">
        <xdr:nvSpPr>
          <xdr:cNvPr id="11" name="Rectangle 10">
            <a:extLst>
              <a:ext uri="{FF2B5EF4-FFF2-40B4-BE49-F238E27FC236}">
                <a16:creationId xmlns:a16="http://schemas.microsoft.com/office/drawing/2014/main" id="{A0F9AEC1-D628-4A2F-8066-8AEFEB6FB667}"/>
              </a:ext>
            </a:extLst>
          </xdr:cNvPr>
          <xdr:cNvSpPr/>
        </xdr:nvSpPr>
        <xdr:spPr>
          <a:xfrm>
            <a:off x="0" y="7620"/>
            <a:ext cx="10904220" cy="563880"/>
          </a:xfrm>
          <a:prstGeom prst="rect">
            <a:avLst/>
          </a:prstGeom>
          <a:solidFill>
            <a:srgbClr val="4F81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117A5C2D-C4CA-4093-94AE-BE60AB3E612A}"/>
              </a:ext>
            </a:extLst>
          </xdr:cNvPr>
          <xdr:cNvSpPr/>
        </xdr:nvSpPr>
        <xdr:spPr>
          <a:xfrm>
            <a:off x="2280716" y="0"/>
            <a:ext cx="7227811" cy="655885"/>
          </a:xfrm>
          <a:prstGeom prst="rect">
            <a:avLst/>
          </a:prstGeom>
          <a:noFill/>
        </xdr:spPr>
        <xdr:txBody>
          <a:bodyPr wrap="none" lIns="91440" tIns="45720" rIns="91440" bIns="45720">
            <a:spAutoFit/>
          </a:bodyPr>
          <a:lstStyle/>
          <a:p>
            <a:pPr algn="ctr"/>
            <a:r>
              <a:rPr lang="en-US" sz="3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CUSTOMER TRANSACTION ANALYSIS</a:t>
            </a:r>
          </a:p>
        </xdr:txBody>
      </xdr:sp>
    </xdr:grpSp>
    <xdr:clientData/>
  </xdr:twoCellAnchor>
  <xdr:twoCellAnchor editAs="oneCell">
    <xdr:from>
      <xdr:col>0</xdr:col>
      <xdr:colOff>0</xdr:colOff>
      <xdr:row>19</xdr:row>
      <xdr:rowOff>60960</xdr:rowOff>
    </xdr:from>
    <xdr:to>
      <xdr:col>1</xdr:col>
      <xdr:colOff>22860</xdr:colOff>
      <xdr:row>22</xdr:row>
      <xdr:rowOff>144780</xdr:rowOff>
    </xdr:to>
    <xdr:pic>
      <xdr:nvPicPr>
        <xdr:cNvPr id="14" name="Graphic 13" descr="Database">
          <a:hlinkClick xmlns:r="http://schemas.openxmlformats.org/officeDocument/2006/relationships" r:id="rId7"/>
          <a:extLst>
            <a:ext uri="{FF2B5EF4-FFF2-40B4-BE49-F238E27FC236}">
              <a16:creationId xmlns:a16="http://schemas.microsoft.com/office/drawing/2014/main" id="{5F4B5964-BFBC-494B-8CB7-34AADCDD0A0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3535680"/>
          <a:ext cx="632460" cy="632460"/>
        </a:xfrm>
        <a:prstGeom prst="rect">
          <a:avLst/>
        </a:prstGeom>
      </xdr:spPr>
    </xdr:pic>
    <xdr:clientData/>
  </xdr:twoCellAnchor>
  <xdr:twoCellAnchor editAs="oneCell">
    <xdr:from>
      <xdr:col>0</xdr:col>
      <xdr:colOff>0</xdr:colOff>
      <xdr:row>7</xdr:row>
      <xdr:rowOff>50940</xdr:rowOff>
    </xdr:from>
    <xdr:to>
      <xdr:col>1</xdr:col>
      <xdr:colOff>40500</xdr:colOff>
      <xdr:row>10</xdr:row>
      <xdr:rowOff>152400</xdr:rowOff>
    </xdr:to>
    <xdr:pic>
      <xdr:nvPicPr>
        <xdr:cNvPr id="15" name="Graphic 14" descr="Presentation with bar chart RTL">
          <a:hlinkClick xmlns:r="http://schemas.openxmlformats.org/officeDocument/2006/relationships" r:id="rId10"/>
          <a:extLst>
            <a:ext uri="{FF2B5EF4-FFF2-40B4-BE49-F238E27FC236}">
              <a16:creationId xmlns:a16="http://schemas.microsoft.com/office/drawing/2014/main" id="{D31D30C4-5EEB-4C17-9350-9CC03C78754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0" y="1331100"/>
          <a:ext cx="650100" cy="650100"/>
        </a:xfrm>
        <a:prstGeom prst="rect">
          <a:avLst/>
        </a:prstGeom>
      </xdr:spPr>
    </xdr:pic>
    <xdr:clientData/>
  </xdr:twoCellAnchor>
  <xdr:twoCellAnchor editAs="oneCell">
    <xdr:from>
      <xdr:col>0</xdr:col>
      <xdr:colOff>7620</xdr:colOff>
      <xdr:row>13</xdr:row>
      <xdr:rowOff>66180</xdr:rowOff>
    </xdr:from>
    <xdr:to>
      <xdr:col>1</xdr:col>
      <xdr:colOff>27660</xdr:colOff>
      <xdr:row>16</xdr:row>
      <xdr:rowOff>147180</xdr:rowOff>
    </xdr:to>
    <xdr:pic>
      <xdr:nvPicPr>
        <xdr:cNvPr id="16" name="Graphic 15" descr="Head with gears">
          <a:hlinkClick xmlns:r="http://schemas.openxmlformats.org/officeDocument/2006/relationships" r:id="rId13"/>
          <a:extLst>
            <a:ext uri="{FF2B5EF4-FFF2-40B4-BE49-F238E27FC236}">
              <a16:creationId xmlns:a16="http://schemas.microsoft.com/office/drawing/2014/main" id="{B1EFB660-78C6-44B5-AB13-F617D788398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620" y="2443620"/>
          <a:ext cx="629640" cy="6296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22</xdr:row>
      <xdr:rowOff>60960</xdr:rowOff>
    </xdr:from>
    <xdr:to>
      <xdr:col>1</xdr:col>
      <xdr:colOff>0</xdr:colOff>
      <xdr:row>25</xdr:row>
      <xdr:rowOff>114300</xdr:rowOff>
    </xdr:to>
    <xdr:pic>
      <xdr:nvPicPr>
        <xdr:cNvPr id="2" name="Graphic 1" descr="Database">
          <a:hlinkClick xmlns:r="http://schemas.openxmlformats.org/officeDocument/2006/relationships" r:id="rId1"/>
          <a:extLst>
            <a:ext uri="{FF2B5EF4-FFF2-40B4-BE49-F238E27FC236}">
              <a16:creationId xmlns:a16="http://schemas.microsoft.com/office/drawing/2014/main" id="{AE5C0EA8-CA09-460C-A657-3CDCB66B50F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3535680"/>
          <a:ext cx="632460" cy="632460"/>
        </a:xfrm>
        <a:prstGeom prst="rect">
          <a:avLst/>
        </a:prstGeom>
      </xdr:spPr>
    </xdr:pic>
    <xdr:clientData/>
  </xdr:twoCellAnchor>
  <xdr:twoCellAnchor editAs="oneCell">
    <xdr:from>
      <xdr:col>0</xdr:col>
      <xdr:colOff>0</xdr:colOff>
      <xdr:row>10</xdr:row>
      <xdr:rowOff>50940</xdr:rowOff>
    </xdr:from>
    <xdr:to>
      <xdr:col>1</xdr:col>
      <xdr:colOff>2400</xdr:colOff>
      <xdr:row>13</xdr:row>
      <xdr:rowOff>152400</xdr:rowOff>
    </xdr:to>
    <xdr:pic>
      <xdr:nvPicPr>
        <xdr:cNvPr id="3" name="Graphic 2" descr="Presentation with bar chart RTL">
          <a:hlinkClick xmlns:r="http://schemas.openxmlformats.org/officeDocument/2006/relationships" r:id="rId4"/>
          <a:extLst>
            <a:ext uri="{FF2B5EF4-FFF2-40B4-BE49-F238E27FC236}">
              <a16:creationId xmlns:a16="http://schemas.microsoft.com/office/drawing/2014/main" id="{9E5D14EE-C47E-407B-AFE6-936C97C7619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1331100"/>
          <a:ext cx="650100" cy="650100"/>
        </a:xfrm>
        <a:prstGeom prst="rect">
          <a:avLst/>
        </a:prstGeom>
      </xdr:spPr>
    </xdr:pic>
    <xdr:clientData/>
  </xdr:twoCellAnchor>
  <xdr:twoCellAnchor editAs="oneCell">
    <xdr:from>
      <xdr:col>0</xdr:col>
      <xdr:colOff>7620</xdr:colOff>
      <xdr:row>16</xdr:row>
      <xdr:rowOff>66180</xdr:rowOff>
    </xdr:from>
    <xdr:to>
      <xdr:col>0</xdr:col>
      <xdr:colOff>606780</xdr:colOff>
      <xdr:row>19</xdr:row>
      <xdr:rowOff>147180</xdr:rowOff>
    </xdr:to>
    <xdr:pic>
      <xdr:nvPicPr>
        <xdr:cNvPr id="4" name="Graphic 3" descr="Head with gears">
          <a:hlinkClick xmlns:r="http://schemas.openxmlformats.org/officeDocument/2006/relationships" r:id="rId7"/>
          <a:extLst>
            <a:ext uri="{FF2B5EF4-FFF2-40B4-BE49-F238E27FC236}">
              <a16:creationId xmlns:a16="http://schemas.microsoft.com/office/drawing/2014/main" id="{F12D23F3-7F16-47C7-AD0D-644D6AD23CF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620" y="2443620"/>
          <a:ext cx="629640" cy="629640"/>
        </a:xfrm>
        <a:prstGeom prst="rect">
          <a:avLst/>
        </a:prstGeom>
      </xdr:spPr>
    </xdr:pic>
    <xdr:clientData/>
  </xdr:twoCellAnchor>
  <xdr:twoCellAnchor>
    <xdr:from>
      <xdr:col>0</xdr:col>
      <xdr:colOff>0</xdr:colOff>
      <xdr:row>0</xdr:row>
      <xdr:rowOff>0</xdr:rowOff>
    </xdr:from>
    <xdr:to>
      <xdr:col>22</xdr:col>
      <xdr:colOff>7620</xdr:colOff>
      <xdr:row>3</xdr:row>
      <xdr:rowOff>107245</xdr:rowOff>
    </xdr:to>
    <xdr:grpSp>
      <xdr:nvGrpSpPr>
        <xdr:cNvPr id="5" name="Group 4">
          <a:extLst>
            <a:ext uri="{FF2B5EF4-FFF2-40B4-BE49-F238E27FC236}">
              <a16:creationId xmlns:a16="http://schemas.microsoft.com/office/drawing/2014/main" id="{BE0CF7B9-ADE4-44B3-A1FB-D3F6D2F9E30A}"/>
            </a:ext>
          </a:extLst>
        </xdr:cNvPr>
        <xdr:cNvGrpSpPr/>
      </xdr:nvGrpSpPr>
      <xdr:grpSpPr>
        <a:xfrm>
          <a:off x="0" y="0"/>
          <a:ext cx="20535900" cy="655885"/>
          <a:chOff x="0" y="0"/>
          <a:chExt cx="10904220" cy="613639"/>
        </a:xfrm>
      </xdr:grpSpPr>
      <xdr:sp macro="" textlink="">
        <xdr:nvSpPr>
          <xdr:cNvPr id="6" name="Rectangle 5">
            <a:extLst>
              <a:ext uri="{FF2B5EF4-FFF2-40B4-BE49-F238E27FC236}">
                <a16:creationId xmlns:a16="http://schemas.microsoft.com/office/drawing/2014/main" id="{B3F5BCFE-4A71-E57F-ED17-7389D61BEA31}"/>
              </a:ext>
            </a:extLst>
          </xdr:cNvPr>
          <xdr:cNvSpPr/>
        </xdr:nvSpPr>
        <xdr:spPr>
          <a:xfrm>
            <a:off x="0" y="7620"/>
            <a:ext cx="10904220" cy="563880"/>
          </a:xfrm>
          <a:prstGeom prst="rect">
            <a:avLst/>
          </a:prstGeom>
          <a:solidFill>
            <a:srgbClr val="4F81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C14C6A67-1AE0-7445-3FED-DD0D76D4EFBD}"/>
              </a:ext>
            </a:extLst>
          </xdr:cNvPr>
          <xdr:cNvSpPr/>
        </xdr:nvSpPr>
        <xdr:spPr>
          <a:xfrm>
            <a:off x="2195916" y="0"/>
            <a:ext cx="3424146" cy="613639"/>
          </a:xfrm>
          <a:prstGeom prst="rect">
            <a:avLst/>
          </a:prstGeom>
          <a:noFill/>
        </xdr:spPr>
        <xdr:txBody>
          <a:bodyPr wrap="none" lIns="91440" tIns="45720" rIns="91440" bIns="45720">
            <a:spAutoFit/>
          </a:bodyPr>
          <a:lstStyle/>
          <a:p>
            <a:pPr algn="ctr"/>
            <a:r>
              <a:rPr lang="en-US" sz="3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CUSTOMER TRANSACTION DATA</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2.675543750003" createdVersion="8" refreshedVersion="8" minRefreshableVersion="3" recordCount="250" xr:uid="{AC79D480-9152-4DF4-8819-703739B2320C}">
  <cacheSource type="worksheet">
    <worksheetSource name="data"/>
  </cacheSource>
  <cacheFields count="21">
    <cacheField name="Transaction_ID" numFmtId="0">
      <sharedItems/>
    </cacheField>
    <cacheField name="Date" numFmtId="14">
      <sharedItems containsSemiMixedTypes="0" containsNonDate="0" containsDate="1" containsString="0" minDate="2024-04-12T00:00:00" maxDate="2024-12-17T00:00:00" count="249">
        <d v="2024-11-04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sharedItems>
      <fieldGroup par="20"/>
    </cacheField>
    <cacheField name="Customer_ID" numFmtId="0">
      <sharedItems/>
    </cacheField>
    <cacheField name="Cust_ID_No."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Timestamp" numFmtId="22">
      <sharedItems containsSemiMixedTypes="0" containsNonDate="0" containsDate="1" containsString="0" minDate="2026-05-30T16:12:08" maxDate="2026-05-30T16:12:08"/>
    </cacheField>
    <cacheField name="Customer_tenure(Months)" numFmtId="1">
      <sharedItems containsSemiMixedTypes="0" containsString="0" containsNumber="1" containsInteger="1" minValue="25" maxValue="58"/>
    </cacheField>
    <cacheField name="Helper_col" numFmtId="0">
      <sharedItems containsSemiMixedTypes="0" containsString="0" containsNumber="1" containsInteger="1" minValue="1" maxValue="35"/>
    </cacheField>
    <cacheField name="End_of_month" numFmtId="14">
      <sharedItems containsSemiMixedTypes="0" containsNonDate="0" containsDate="1" containsString="0" minDate="2024-04-30T00:00:00" maxDate="2025-01-01T00:00:00"/>
    </cacheField>
    <cacheField name="Days (Date)" numFmtId="0" databaseField="0">
      <fieldGroup base="1">
        <rangePr groupBy="days" startDate="2024-04-12T00:00:00" endDate="2024-12-17T00:00:00"/>
        <groupItems count="368">
          <s v="&lt;4/12/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7/2024"/>
        </groupItems>
      </fieldGroup>
    </cacheField>
    <cacheField name="Months (Date)" numFmtId="0" databaseField="0">
      <fieldGroup base="1">
        <rangePr groupBy="months" startDate="2024-04-12T00:00:00" endDate="2024-12-17T00:00:00"/>
        <groupItems count="14">
          <s v="&lt;4/12/2024"/>
          <s v="Jan"/>
          <s v="Feb"/>
          <s v="Mar"/>
          <s v="Apr"/>
          <s v="May"/>
          <s v="Jun"/>
          <s v="Jul"/>
          <s v="Aug"/>
          <s v="Sep"/>
          <s v="Oct"/>
          <s v="Nov"/>
          <s v="Dec"/>
          <s v="&gt;12/17/2024"/>
        </groupItems>
      </fieldGroup>
    </cacheField>
  </cacheFields>
  <extLst>
    <ext xmlns:x14="http://schemas.microsoft.com/office/spreadsheetml/2009/9/main" uri="{725AE2AE-9491-48be-B2B4-4EB974FC3084}">
      <x14:pivotCacheDefinition pivotCacheId="16780722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023"/>
    <s v="Paul Baker"/>
    <s v="P009"/>
    <x v="0"/>
    <x v="0"/>
    <n v="3"/>
    <n v="249.99"/>
    <x v="0"/>
    <x v="0"/>
    <x v="0"/>
    <d v="2021-08-17T00:00:00"/>
    <n v="749.97"/>
    <d v="2026-05-30T16:12:08"/>
    <n v="57"/>
    <n v="1"/>
    <d v="2024-11-30T00:00:00"/>
  </r>
  <r>
    <s v="TRX0023"/>
    <x v="1"/>
    <s v="CUST013"/>
    <s v="013"/>
    <s v="Joseph Jackson"/>
    <s v="P009"/>
    <x v="0"/>
    <x v="0"/>
    <n v="3"/>
    <n v="249.99"/>
    <x v="1"/>
    <x v="0"/>
    <x v="1"/>
    <d v="2022-01-14T00:00:00"/>
    <n v="749.97"/>
    <d v="2026-05-30T16:12:08"/>
    <n v="52"/>
    <n v="2"/>
    <d v="2024-04-30T00:00:00"/>
  </r>
  <r>
    <s v="TRX0139"/>
    <x v="2"/>
    <s v="CUST021"/>
    <s v="021"/>
    <s v="Kevin Scott"/>
    <s v="P005"/>
    <x v="1"/>
    <x v="1"/>
    <n v="3"/>
    <n v="59.99"/>
    <x v="2"/>
    <x v="1"/>
    <x v="2"/>
    <d v="2023-12-02T00:00:00"/>
    <n v="179.97"/>
    <d v="2026-05-30T16:12:08"/>
    <n v="29"/>
    <n v="1"/>
    <d v="2024-04-30T00:00:00"/>
  </r>
  <r>
    <s v="TRX0043"/>
    <x v="3"/>
    <s v="CUST046"/>
    <s v="046"/>
    <s v="Kathleen Bennett"/>
    <s v="P005"/>
    <x v="1"/>
    <x v="1"/>
    <n v="3"/>
    <n v="59.99"/>
    <x v="0"/>
    <x v="2"/>
    <x v="1"/>
    <d v="2023-07-07T00:00:00"/>
    <n v="179.97"/>
    <d v="2026-05-30T16:12:08"/>
    <n v="34"/>
    <n v="2"/>
    <d v="2024-04-30T00:00:00"/>
  </r>
  <r>
    <s v="TRX0212"/>
    <x v="4"/>
    <s v="CUST003"/>
    <s v="003"/>
    <s v="Michael Brown"/>
    <s v="P008"/>
    <x v="2"/>
    <x v="2"/>
    <n v="5"/>
    <n v="149.99"/>
    <x v="1"/>
    <x v="2"/>
    <x v="1"/>
    <d v="2024-01-04T00:00:00"/>
    <n v="749.95"/>
    <d v="2026-05-30T16:12:08"/>
    <n v="28"/>
    <n v="1"/>
    <d v="2024-04-30T00:00:00"/>
  </r>
  <r>
    <s v="TRX0092"/>
    <x v="5"/>
    <s v="CUST024"/>
    <s v="024"/>
    <s v="Dorothy Nelson"/>
    <s v="P005"/>
    <x v="1"/>
    <x v="1"/>
    <n v="2"/>
    <n v="59.99"/>
    <x v="0"/>
    <x v="3"/>
    <x v="2"/>
    <d v="2022-07-04T00:00:00"/>
    <n v="119.98"/>
    <d v="2026-05-30T16:12:08"/>
    <n v="46"/>
    <n v="3"/>
    <d v="2024-04-30T00:00:00"/>
  </r>
  <r>
    <s v="TRX0193"/>
    <x v="6"/>
    <s v="CUST024"/>
    <s v="024"/>
    <s v="Dorothy Nelson"/>
    <s v="P003"/>
    <x v="3"/>
    <x v="0"/>
    <n v="5"/>
    <n v="149.99"/>
    <x v="1"/>
    <x v="0"/>
    <x v="2"/>
    <d v="2021-08-10T00:00:00"/>
    <n v="749.95"/>
    <d v="2026-05-30T16:12:08"/>
    <n v="57"/>
    <n v="1"/>
    <d v="2024-04-30T00:00:00"/>
  </r>
  <r>
    <s v="TRX0240"/>
    <x v="7"/>
    <s v="CUST017"/>
    <s v="017"/>
    <s v="Charles Allen"/>
    <s v="P005"/>
    <x v="1"/>
    <x v="1"/>
    <n v="3"/>
    <n v="59.99"/>
    <x v="3"/>
    <x v="1"/>
    <x v="0"/>
    <d v="2023-03-22T00:00:00"/>
    <n v="179.97"/>
    <d v="2026-05-30T16:12:08"/>
    <n v="38"/>
    <n v="4"/>
    <d v="2024-04-30T00:00:00"/>
  </r>
  <r>
    <s v="TRX0135"/>
    <x v="8"/>
    <s v="CUST009"/>
    <s v="009"/>
    <s v="Robert Thomas"/>
    <s v="P001"/>
    <x v="4"/>
    <x v="0"/>
    <n v="3"/>
    <n v="899.99"/>
    <x v="2"/>
    <x v="4"/>
    <x v="2"/>
    <d v="2024-01-08T00:00:00"/>
    <n v="2699.97"/>
    <d v="2026-05-30T16:12:08"/>
    <n v="28"/>
    <n v="1"/>
    <d v="2024-04-30T00:00:00"/>
  </r>
  <r>
    <s v="TRX0185"/>
    <x v="9"/>
    <s v="CUST026"/>
    <s v="026"/>
    <s v="Karen Hill"/>
    <s v="P005"/>
    <x v="1"/>
    <x v="1"/>
    <n v="3"/>
    <n v="59.99"/>
    <x v="0"/>
    <x v="3"/>
    <x v="1"/>
    <d v="2023-10-08T00:00:00"/>
    <n v="179.97"/>
    <d v="2026-05-30T16:12:08"/>
    <n v="31"/>
    <n v="5"/>
    <d v="2024-04-30T00:00:00"/>
  </r>
  <r>
    <s v="TRX0138"/>
    <x v="10"/>
    <s v="CUST022"/>
    <s v="022"/>
    <s v="Susan Green"/>
    <s v="P008"/>
    <x v="2"/>
    <x v="2"/>
    <n v="1"/>
    <n v="149.99"/>
    <x v="1"/>
    <x v="3"/>
    <x v="2"/>
    <d v="2023-06-26T00:00:00"/>
    <n v="149.99"/>
    <d v="2026-05-30T16:12:08"/>
    <n v="35"/>
    <n v="2"/>
    <d v="2024-04-30T00:00:00"/>
  </r>
  <r>
    <s v="TRX0209"/>
    <x v="11"/>
    <s v="CUST046"/>
    <s v="046"/>
    <s v="Kathleen Bennett"/>
    <s v="P008"/>
    <x v="2"/>
    <x v="2"/>
    <n v="5"/>
    <n v="149.99"/>
    <x v="3"/>
    <x v="2"/>
    <x v="0"/>
    <d v="2022-09-26T00:00:00"/>
    <n v="749.95"/>
    <d v="2026-05-30T16:12:08"/>
    <n v="44"/>
    <n v="3"/>
    <d v="2024-04-30T00:00:00"/>
  </r>
  <r>
    <s v="TRX0246"/>
    <x v="12"/>
    <s v="CUST041"/>
    <s v="041"/>
    <s v="Peter Richardson"/>
    <s v="P008"/>
    <x v="2"/>
    <x v="2"/>
    <n v="3"/>
    <n v="149.99"/>
    <x v="0"/>
    <x v="2"/>
    <x v="1"/>
    <d v="2022-09-02T00:00:00"/>
    <n v="449.97"/>
    <d v="2026-05-30T16:12:08"/>
    <n v="44"/>
    <n v="4"/>
    <d v="2024-04-30T00:00:00"/>
  </r>
  <r>
    <s v="TRX0067"/>
    <x v="13"/>
    <s v="CUST043"/>
    <s v="043"/>
    <s v="Dennis Gray"/>
    <s v="P005"/>
    <x v="1"/>
    <x v="1"/>
    <n v="3"/>
    <n v="59.99"/>
    <x v="1"/>
    <x v="2"/>
    <x v="2"/>
    <d v="2024-02-29T00:00:00"/>
    <n v="179.97"/>
    <d v="2026-05-30T16:12:08"/>
    <n v="27"/>
    <n v="6"/>
    <d v="2024-04-30T00:00:00"/>
  </r>
  <r>
    <s v="TRX0191"/>
    <x v="14"/>
    <s v="CUST038"/>
    <s v="038"/>
    <s v="Michelle Rogers"/>
    <s v="P002"/>
    <x v="5"/>
    <x v="0"/>
    <n v="3"/>
    <n v="699.99"/>
    <x v="1"/>
    <x v="3"/>
    <x v="0"/>
    <d v="2022-01-16T00:00:00"/>
    <n v="2099.9699999999998"/>
    <d v="2026-05-30T16:12:08"/>
    <n v="52"/>
    <n v="1"/>
    <d v="2024-04-30T00:00:00"/>
  </r>
  <r>
    <s v="TRX0230"/>
    <x v="15"/>
    <s v="CUST027"/>
    <s v="027"/>
    <s v="George Adams"/>
    <s v="P001"/>
    <x v="4"/>
    <x v="0"/>
    <n v="1"/>
    <n v="899.99"/>
    <x v="3"/>
    <x v="2"/>
    <x v="2"/>
    <d v="2022-12-25T00:00:00"/>
    <n v="899.99"/>
    <d v="2026-05-30T16:12:08"/>
    <n v="41"/>
    <n v="2"/>
    <d v="2024-04-30T00:00:00"/>
  </r>
  <r>
    <s v="TRX0049"/>
    <x v="16"/>
    <s v="CUST025"/>
    <s v="025"/>
    <s v="Mark Carter"/>
    <s v="P008"/>
    <x v="2"/>
    <x v="2"/>
    <n v="4"/>
    <n v="149.99"/>
    <x v="3"/>
    <x v="2"/>
    <x v="1"/>
    <d v="2024-03-23T00:00:00"/>
    <n v="599.96"/>
    <d v="2026-05-30T16:12:08"/>
    <n v="26"/>
    <n v="5"/>
    <d v="2024-04-30T00:00:00"/>
  </r>
  <r>
    <s v="TRX0134"/>
    <x v="17"/>
    <s v="CUST010"/>
    <s v="010"/>
    <s v="Maria Garcia"/>
    <s v="P002"/>
    <x v="5"/>
    <x v="0"/>
    <n v="2"/>
    <n v="699.99"/>
    <x v="0"/>
    <x v="2"/>
    <x v="0"/>
    <d v="2022-08-08T00:00:00"/>
    <n v="1399.98"/>
    <d v="2026-05-30T16:12:08"/>
    <n v="45"/>
    <n v="2"/>
    <d v="2024-04-30T00:00:00"/>
  </r>
  <r>
    <s v="TRX0122"/>
    <x v="18"/>
    <s v="CUST025"/>
    <s v="025"/>
    <s v="Mark Carter"/>
    <s v="P001"/>
    <x v="4"/>
    <x v="0"/>
    <n v="4"/>
    <n v="899.99"/>
    <x v="1"/>
    <x v="3"/>
    <x v="2"/>
    <d v="2024-02-05T00:00:00"/>
    <n v="3599.96"/>
    <d v="2026-05-30T16:12:08"/>
    <n v="27"/>
    <n v="3"/>
    <d v="2024-04-30T00:00:00"/>
  </r>
  <r>
    <s v="TRX0222"/>
    <x v="19"/>
    <s v="CUST048"/>
    <s v="048"/>
    <s v="Virginia Sanders"/>
    <s v="P009"/>
    <x v="0"/>
    <x v="0"/>
    <n v="3"/>
    <n v="249.99"/>
    <x v="1"/>
    <x v="2"/>
    <x v="1"/>
    <d v="2023-10-25T00:00:00"/>
    <n v="749.97"/>
    <d v="2026-05-30T16:12:08"/>
    <n v="31"/>
    <n v="3"/>
    <d v="2024-04-30T00:00:00"/>
  </r>
  <r>
    <s v="TRX0231"/>
    <x v="20"/>
    <s v="CUST018"/>
    <s v="018"/>
    <s v="Barbara Young"/>
    <s v="P002"/>
    <x v="5"/>
    <x v="0"/>
    <n v="5"/>
    <n v="699.99"/>
    <x v="0"/>
    <x v="3"/>
    <x v="0"/>
    <d v="2023-08-29T00:00:00"/>
    <n v="3499.95"/>
    <d v="2026-05-30T16:12:08"/>
    <n v="33"/>
    <n v="3"/>
    <d v="2024-05-31T00:00:00"/>
  </r>
  <r>
    <s v="TRX0239"/>
    <x v="21"/>
    <s v="CUST012"/>
    <s v="012"/>
    <s v="Patricia Moore"/>
    <s v="P002"/>
    <x v="5"/>
    <x v="0"/>
    <n v="4"/>
    <n v="699.99"/>
    <x v="0"/>
    <x v="4"/>
    <x v="2"/>
    <d v="2021-08-01T00:00:00"/>
    <n v="2799.96"/>
    <d v="2026-05-30T16:12:08"/>
    <n v="57"/>
    <n v="4"/>
    <d v="2024-05-31T00:00:00"/>
  </r>
  <r>
    <s v="TRX0204"/>
    <x v="22"/>
    <s v="CUST044"/>
    <s v="044"/>
    <s v="Cynthia Price"/>
    <s v="P009"/>
    <x v="0"/>
    <x v="0"/>
    <n v="4"/>
    <n v="249.99"/>
    <x v="2"/>
    <x v="2"/>
    <x v="2"/>
    <d v="2021-09-29T00:00:00"/>
    <n v="999.96"/>
    <d v="2026-05-30T16:12:08"/>
    <n v="56"/>
    <n v="4"/>
    <d v="2024-05-31T00:00:00"/>
  </r>
  <r>
    <s v="TRX0242"/>
    <x v="23"/>
    <s v="CUST025"/>
    <s v="025"/>
    <s v="Mark Carter"/>
    <s v="P007"/>
    <x v="6"/>
    <x v="2"/>
    <n v="4"/>
    <n v="299.99"/>
    <x v="0"/>
    <x v="3"/>
    <x v="1"/>
    <d v="2022-06-04T00:00:00"/>
    <n v="1199.96"/>
    <d v="2026-05-30T16:12:08"/>
    <n v="47"/>
    <n v="1"/>
    <d v="2024-05-31T00:00:00"/>
  </r>
  <r>
    <s v="TRX0071"/>
    <x v="24"/>
    <s v="CUST036"/>
    <s v="036"/>
    <s v="Nancy Collins"/>
    <s v="P009"/>
    <x v="0"/>
    <x v="0"/>
    <n v="5"/>
    <n v="249.99"/>
    <x v="1"/>
    <x v="3"/>
    <x v="2"/>
    <d v="2021-11-25T00:00:00"/>
    <n v="1249.95"/>
    <d v="2026-05-30T16:12:08"/>
    <n v="54"/>
    <n v="5"/>
    <d v="2024-05-31T00:00:00"/>
  </r>
  <r>
    <s v="TRX0040"/>
    <x v="25"/>
    <s v="CUST022"/>
    <s v="022"/>
    <s v="Susan Green"/>
    <s v="P007"/>
    <x v="6"/>
    <x v="2"/>
    <n v="5"/>
    <n v="299.99"/>
    <x v="2"/>
    <x v="4"/>
    <x v="0"/>
    <d v="2023-08-30T00:00:00"/>
    <n v="1499.95"/>
    <d v="2026-05-30T16:12:08"/>
    <n v="33"/>
    <n v="2"/>
    <d v="2024-05-31T00:00:00"/>
  </r>
  <r>
    <s v="TRX0235"/>
    <x v="26"/>
    <s v="CUST014"/>
    <s v="014"/>
    <s v="Linda Martin"/>
    <s v="P004"/>
    <x v="7"/>
    <x v="1"/>
    <n v="3"/>
    <n v="79.989999999999995"/>
    <x v="2"/>
    <x v="4"/>
    <x v="1"/>
    <d v="2023-03-27T00:00:00"/>
    <n v="239.97"/>
    <d v="2026-05-30T16:12:08"/>
    <n v="38"/>
    <n v="1"/>
    <d v="2024-05-31T00:00:00"/>
  </r>
  <r>
    <s v="TRX0004"/>
    <x v="27"/>
    <s v="CUST012"/>
    <s v="012"/>
    <s v="Patricia Moore"/>
    <s v="P010"/>
    <x v="8"/>
    <x v="0"/>
    <n v="5"/>
    <n v="89.99"/>
    <x v="0"/>
    <x v="2"/>
    <x v="1"/>
    <d v="2022-12-24T00:00:00"/>
    <n v="449.95"/>
    <d v="2026-05-30T16:12:08"/>
    <n v="41"/>
    <n v="1"/>
    <d v="2024-05-31T00:00:00"/>
  </r>
  <r>
    <s v="TRX0063"/>
    <x v="28"/>
    <s v="CUST030"/>
    <s v="030"/>
    <s v="Helen Roberts"/>
    <s v="P005"/>
    <x v="1"/>
    <x v="1"/>
    <n v="2"/>
    <n v="59.99"/>
    <x v="3"/>
    <x v="0"/>
    <x v="2"/>
    <d v="2023-10-15T00:00:00"/>
    <n v="119.98"/>
    <d v="2026-05-30T16:12:08"/>
    <n v="31"/>
    <n v="7"/>
    <d v="2024-05-31T00:00:00"/>
  </r>
  <r>
    <s v="TRX0241"/>
    <x v="29"/>
    <s v="CUST029"/>
    <s v="029"/>
    <s v="Edward Mitchell"/>
    <s v="P005"/>
    <x v="1"/>
    <x v="1"/>
    <n v="4"/>
    <n v="59.99"/>
    <x v="3"/>
    <x v="4"/>
    <x v="2"/>
    <d v="2022-11-02T00:00:00"/>
    <n v="239.96"/>
    <d v="2026-05-30T16:12:08"/>
    <n v="42"/>
    <n v="8"/>
    <d v="2024-05-31T00:00:00"/>
  </r>
  <r>
    <s v="TRX0029"/>
    <x v="30"/>
    <s v="CUST017"/>
    <s v="017"/>
    <s v="Charles Allen"/>
    <s v="P006"/>
    <x v="9"/>
    <x v="2"/>
    <n v="5"/>
    <n v="199.99"/>
    <x v="0"/>
    <x v="1"/>
    <x v="2"/>
    <d v="2021-08-04T00:00:00"/>
    <n v="999.95"/>
    <d v="2026-05-30T16:12:08"/>
    <n v="57"/>
    <n v="1"/>
    <d v="2024-05-31T00:00:00"/>
  </r>
  <r>
    <s v="TRX0194"/>
    <x v="31"/>
    <s v="CUST006"/>
    <s v="006"/>
    <s v="Lisa Anderson"/>
    <s v="P008"/>
    <x v="2"/>
    <x v="2"/>
    <n v="2"/>
    <n v="149.99"/>
    <x v="1"/>
    <x v="3"/>
    <x v="0"/>
    <d v="2022-09-19T00:00:00"/>
    <n v="299.98"/>
    <d v="2026-05-30T16:12:08"/>
    <n v="44"/>
    <n v="6"/>
    <d v="2024-05-31T00:00:00"/>
  </r>
  <r>
    <s v="TRX0130"/>
    <x v="32"/>
    <s v="CUST002"/>
    <s v="002"/>
    <s v="Emma Wilson"/>
    <s v="P008"/>
    <x v="2"/>
    <x v="2"/>
    <n v="3"/>
    <n v="149.99"/>
    <x v="1"/>
    <x v="3"/>
    <x v="1"/>
    <d v="2023-05-22T00:00:00"/>
    <n v="449.97"/>
    <d v="2026-05-30T16:12:08"/>
    <n v="36"/>
    <n v="7"/>
    <d v="2024-05-31T00:00:00"/>
  </r>
  <r>
    <s v="TRX0041"/>
    <x v="33"/>
    <s v="CUST021"/>
    <s v="021"/>
    <s v="Kevin Scott"/>
    <s v="P001"/>
    <x v="4"/>
    <x v="0"/>
    <n v="1"/>
    <n v="899.99"/>
    <x v="1"/>
    <x v="3"/>
    <x v="1"/>
    <d v="2022-01-17T00:00:00"/>
    <n v="899.99"/>
    <d v="2026-05-30T16:12:08"/>
    <n v="52"/>
    <n v="4"/>
    <d v="2024-05-31T00:00:00"/>
  </r>
  <r>
    <s v="TRX0232"/>
    <x v="34"/>
    <s v="CUST012"/>
    <s v="012"/>
    <s v="Patricia Moore"/>
    <s v="P007"/>
    <x v="6"/>
    <x v="2"/>
    <n v="3"/>
    <n v="299.99"/>
    <x v="1"/>
    <x v="4"/>
    <x v="0"/>
    <d v="2022-09-20T00:00:00"/>
    <n v="899.97"/>
    <d v="2026-05-30T16:12:08"/>
    <n v="44"/>
    <n v="3"/>
    <d v="2024-05-31T00:00:00"/>
  </r>
  <r>
    <s v="TRX0021"/>
    <x v="35"/>
    <s v="CUST006"/>
    <s v="006"/>
    <s v="Lisa Anderson"/>
    <s v="P004"/>
    <x v="7"/>
    <x v="1"/>
    <n v="3"/>
    <n v="79.989999999999995"/>
    <x v="0"/>
    <x v="1"/>
    <x v="0"/>
    <d v="2023-04-30T00:00:00"/>
    <n v="239.97"/>
    <d v="2026-05-30T16:12:08"/>
    <n v="37"/>
    <n v="2"/>
    <d v="2024-05-31T00:00:00"/>
  </r>
  <r>
    <s v="TRX0245"/>
    <x v="36"/>
    <s v="CUST031"/>
    <s v="031"/>
    <s v="Steven Turner"/>
    <s v="P006"/>
    <x v="9"/>
    <x v="2"/>
    <n v="3"/>
    <n v="199.99"/>
    <x v="1"/>
    <x v="2"/>
    <x v="1"/>
    <d v="2024-01-01T00:00:00"/>
    <n v="599.97"/>
    <d v="2026-05-30T16:12:08"/>
    <n v="28"/>
    <n v="2"/>
    <d v="2024-05-31T00:00:00"/>
  </r>
  <r>
    <s v="TRX0015"/>
    <x v="37"/>
    <s v="CUST008"/>
    <s v="008"/>
    <s v="Jennifer Taylor"/>
    <s v="P002"/>
    <x v="5"/>
    <x v="0"/>
    <n v="5"/>
    <n v="699.99"/>
    <x v="2"/>
    <x v="3"/>
    <x v="2"/>
    <d v="2021-07-30T00:00:00"/>
    <n v="3499.95"/>
    <d v="2026-05-30T16:12:08"/>
    <n v="58"/>
    <n v="5"/>
    <d v="2024-05-31T00:00:00"/>
  </r>
  <r>
    <s v="TRX0202"/>
    <x v="38"/>
    <s v="CUST035"/>
    <s v="035"/>
    <s v="Harry Morgan"/>
    <s v="P010"/>
    <x v="8"/>
    <x v="0"/>
    <n v="3"/>
    <n v="89.99"/>
    <x v="2"/>
    <x v="0"/>
    <x v="1"/>
    <d v="2023-07-13T00:00:00"/>
    <n v="269.97000000000003"/>
    <d v="2026-05-30T16:12:08"/>
    <n v="34"/>
    <n v="2"/>
    <d v="2024-05-31T00:00:00"/>
  </r>
  <r>
    <s v="TRX0042"/>
    <x v="39"/>
    <s v="CUST019"/>
    <s v="019"/>
    <s v="Daniel King"/>
    <s v="P004"/>
    <x v="7"/>
    <x v="1"/>
    <n v="1"/>
    <n v="79.989999999999995"/>
    <x v="0"/>
    <x v="2"/>
    <x v="2"/>
    <d v="2022-12-22T00:00:00"/>
    <n v="79.989999999999995"/>
    <d v="2026-05-30T16:12:08"/>
    <n v="41"/>
    <n v="3"/>
    <d v="2024-05-31T00:00:00"/>
  </r>
  <r>
    <s v="TRX0128"/>
    <x v="40"/>
    <s v="CUST040"/>
    <s v="040"/>
    <s v="Sharon Butler"/>
    <s v="P005"/>
    <x v="1"/>
    <x v="1"/>
    <n v="2"/>
    <n v="59.99"/>
    <x v="0"/>
    <x v="3"/>
    <x v="0"/>
    <d v="2024-04-08T00:00:00"/>
    <n v="119.98"/>
    <d v="2026-05-30T16:12:08"/>
    <n v="25"/>
    <n v="9"/>
    <d v="2024-05-31T00:00:00"/>
  </r>
  <r>
    <s v="TRX0117"/>
    <x v="41"/>
    <s v="CUST017"/>
    <s v="017"/>
    <s v="Charles Allen"/>
    <s v="P010"/>
    <x v="8"/>
    <x v="0"/>
    <n v="1"/>
    <n v="89.99"/>
    <x v="0"/>
    <x v="2"/>
    <x v="0"/>
    <d v="2023-08-03T00:00:00"/>
    <n v="89.99"/>
    <d v="2026-05-30T16:12:08"/>
    <n v="33"/>
    <n v="3"/>
    <d v="2024-05-31T00:00:00"/>
  </r>
  <r>
    <s v="TRX0208"/>
    <x v="42"/>
    <s v="CUST004"/>
    <s v="004"/>
    <s v="Sarah Davis"/>
    <s v="P010"/>
    <x v="8"/>
    <x v="0"/>
    <n v="5"/>
    <n v="89.99"/>
    <x v="1"/>
    <x v="4"/>
    <x v="2"/>
    <d v="2022-01-26T00:00:00"/>
    <n v="449.95"/>
    <d v="2026-05-30T16:12:08"/>
    <n v="52"/>
    <n v="4"/>
    <d v="2024-05-31T00:00:00"/>
  </r>
  <r>
    <s v="TRX0234"/>
    <x v="43"/>
    <s v="CUST013"/>
    <s v="013"/>
    <s v="Joseph Jackson"/>
    <s v="P009"/>
    <x v="0"/>
    <x v="0"/>
    <n v="5"/>
    <n v="249.99"/>
    <x v="1"/>
    <x v="4"/>
    <x v="2"/>
    <d v="2022-05-26T00:00:00"/>
    <n v="1249.95"/>
    <d v="2026-05-30T16:12:08"/>
    <n v="48"/>
    <n v="6"/>
    <d v="2024-05-31T00:00:00"/>
  </r>
  <r>
    <s v="TRX0121"/>
    <x v="44"/>
    <s v="CUST028"/>
    <s v="028"/>
    <s v="Betty Campbell"/>
    <s v="P010"/>
    <x v="8"/>
    <x v="0"/>
    <n v="1"/>
    <n v="89.99"/>
    <x v="1"/>
    <x v="1"/>
    <x v="2"/>
    <d v="2022-01-21T00:00:00"/>
    <n v="89.99"/>
    <d v="2026-05-30T16:12:08"/>
    <n v="52"/>
    <n v="5"/>
    <d v="2024-05-31T00:00:00"/>
  </r>
  <r>
    <s v="TRX0220"/>
    <x v="45"/>
    <s v="CUST003"/>
    <s v="003"/>
    <s v="Michael Brown"/>
    <s v="P008"/>
    <x v="2"/>
    <x v="2"/>
    <n v="2"/>
    <n v="149.99"/>
    <x v="0"/>
    <x v="4"/>
    <x v="1"/>
    <d v="2022-03-25T00:00:00"/>
    <n v="299.98"/>
    <d v="2026-05-30T16:12:08"/>
    <n v="50"/>
    <n v="8"/>
    <d v="2024-05-31T00:00:00"/>
  </r>
  <r>
    <s v="TRX0093"/>
    <x v="46"/>
    <s v="CUST050"/>
    <s v="050"/>
    <s v="Julie Foster"/>
    <s v="P005"/>
    <x v="1"/>
    <x v="1"/>
    <n v="4"/>
    <n v="59.99"/>
    <x v="0"/>
    <x v="4"/>
    <x v="2"/>
    <d v="2021-08-27T00:00:00"/>
    <n v="239.96"/>
    <d v="2026-05-30T16:12:08"/>
    <n v="57"/>
    <n v="10"/>
    <d v="2024-05-31T00:00:00"/>
  </r>
  <r>
    <s v="TRX0088"/>
    <x v="47"/>
    <s v="CUST006"/>
    <s v="006"/>
    <s v="Lisa Anderson"/>
    <s v="P010"/>
    <x v="8"/>
    <x v="0"/>
    <n v="5"/>
    <n v="89.99"/>
    <x v="0"/>
    <x v="0"/>
    <x v="1"/>
    <d v="2022-01-18T00:00:00"/>
    <n v="449.95"/>
    <d v="2026-05-30T16:12:08"/>
    <n v="52"/>
    <n v="6"/>
    <d v="2024-05-31T00:00:00"/>
  </r>
  <r>
    <s v="TRX0115"/>
    <x v="48"/>
    <s v="CUST012"/>
    <s v="012"/>
    <s v="Patricia Moore"/>
    <s v="P010"/>
    <x v="8"/>
    <x v="0"/>
    <n v="2"/>
    <n v="89.99"/>
    <x v="1"/>
    <x v="1"/>
    <x v="1"/>
    <d v="2021-10-02T00:00:00"/>
    <n v="179.98"/>
    <d v="2026-05-30T16:12:08"/>
    <n v="55"/>
    <n v="7"/>
    <d v="2024-05-31T00:00:00"/>
  </r>
  <r>
    <s v="TRX0154"/>
    <x v="49"/>
    <s v="CUST023"/>
    <s v="023"/>
    <s v="Paul Baker"/>
    <s v="P001"/>
    <x v="4"/>
    <x v="0"/>
    <n v="5"/>
    <n v="899.99"/>
    <x v="1"/>
    <x v="1"/>
    <x v="2"/>
    <d v="2023-02-17T00:00:00"/>
    <n v="4499.95"/>
    <d v="2026-05-30T16:12:08"/>
    <n v="39"/>
    <n v="5"/>
    <d v="2024-05-31T00:00:00"/>
  </r>
  <r>
    <s v="TRX0044"/>
    <x v="50"/>
    <s v="CUST029"/>
    <s v="029"/>
    <s v="Edward Mitchell"/>
    <s v="P001"/>
    <x v="4"/>
    <x v="0"/>
    <n v="5"/>
    <n v="899.99"/>
    <x v="2"/>
    <x v="4"/>
    <x v="1"/>
    <d v="2023-12-18T00:00:00"/>
    <n v="4499.95"/>
    <d v="2026-05-30T16:12:08"/>
    <n v="29"/>
    <n v="6"/>
    <d v="2024-05-31T00:00:00"/>
  </r>
  <r>
    <s v="TRX0061"/>
    <x v="51"/>
    <s v="CUST028"/>
    <s v="028"/>
    <s v="Betty Campbell"/>
    <s v="P005"/>
    <x v="1"/>
    <x v="1"/>
    <n v="1"/>
    <n v="59.99"/>
    <x v="3"/>
    <x v="3"/>
    <x v="1"/>
    <d v="2023-09-21T00:00:00"/>
    <n v="59.99"/>
    <d v="2026-05-30T16:12:08"/>
    <n v="32"/>
    <n v="11"/>
    <d v="2024-06-30T00:00:00"/>
  </r>
  <r>
    <s v="TRX0150"/>
    <x v="52"/>
    <s v="CUST008"/>
    <s v="008"/>
    <s v="Jennifer Taylor"/>
    <s v="P007"/>
    <x v="6"/>
    <x v="2"/>
    <n v="2"/>
    <n v="299.99"/>
    <x v="3"/>
    <x v="4"/>
    <x v="2"/>
    <d v="2023-11-23T00:00:00"/>
    <n v="599.98"/>
    <d v="2026-05-30T16:12:08"/>
    <n v="30"/>
    <n v="4"/>
    <d v="2024-06-30T00:00:00"/>
  </r>
  <r>
    <s v="TRX0025"/>
    <x v="53"/>
    <s v="CUST049"/>
    <s v="049"/>
    <s v="Raymond Ross"/>
    <s v="P010"/>
    <x v="8"/>
    <x v="0"/>
    <n v="4"/>
    <n v="89.99"/>
    <x v="3"/>
    <x v="1"/>
    <x v="0"/>
    <d v="2023-12-21T00:00:00"/>
    <n v="359.96"/>
    <d v="2026-05-30T16:12:08"/>
    <n v="29"/>
    <n v="8"/>
    <d v="2024-06-30T00:00:00"/>
  </r>
  <r>
    <s v="TRX0078"/>
    <x v="54"/>
    <s v="CUST021"/>
    <s v="021"/>
    <s v="Kevin Scott"/>
    <s v="P004"/>
    <x v="7"/>
    <x v="1"/>
    <n v="1"/>
    <n v="79.989999999999995"/>
    <x v="2"/>
    <x v="0"/>
    <x v="1"/>
    <d v="2024-03-01T00:00:00"/>
    <n v="79.989999999999995"/>
    <d v="2026-05-30T16:12:08"/>
    <n v="26"/>
    <n v="4"/>
    <d v="2024-06-30T00:00:00"/>
  </r>
  <r>
    <s v="TRX0007"/>
    <x v="55"/>
    <s v="CUST009"/>
    <s v="009"/>
    <s v="Robert Thomas"/>
    <s v="P010"/>
    <x v="8"/>
    <x v="0"/>
    <n v="2"/>
    <n v="89.99"/>
    <x v="0"/>
    <x v="3"/>
    <x v="0"/>
    <d v="2021-08-30T00:00:00"/>
    <n v="179.98"/>
    <d v="2026-05-30T16:12:08"/>
    <n v="57"/>
    <n v="9"/>
    <d v="2024-06-30T00:00:00"/>
  </r>
  <r>
    <s v="TRX0184"/>
    <x v="56"/>
    <s v="CUST046"/>
    <s v="046"/>
    <s v="Kathleen Bennett"/>
    <s v="P002"/>
    <x v="5"/>
    <x v="0"/>
    <n v="3"/>
    <n v="699.99"/>
    <x v="1"/>
    <x v="4"/>
    <x v="1"/>
    <d v="2023-06-25T00:00:00"/>
    <n v="2099.9699999999998"/>
    <d v="2026-05-30T16:12:08"/>
    <n v="35"/>
    <n v="6"/>
    <d v="2024-06-30T00:00:00"/>
  </r>
  <r>
    <s v="TRX0104"/>
    <x v="57"/>
    <s v="CUST012"/>
    <s v="012"/>
    <s v="Patricia Moore"/>
    <s v="P001"/>
    <x v="4"/>
    <x v="0"/>
    <n v="4"/>
    <n v="899.99"/>
    <x v="1"/>
    <x v="4"/>
    <x v="1"/>
    <d v="2023-03-08T00:00:00"/>
    <n v="3599.96"/>
    <d v="2026-05-30T16:12:08"/>
    <n v="38"/>
    <n v="7"/>
    <d v="2024-06-30T00:00:00"/>
  </r>
  <r>
    <s v="TRX0127"/>
    <x v="58"/>
    <s v="CUST030"/>
    <s v="030"/>
    <s v="Helen Roberts"/>
    <s v="P008"/>
    <x v="2"/>
    <x v="2"/>
    <n v="1"/>
    <n v="149.99"/>
    <x v="2"/>
    <x v="4"/>
    <x v="0"/>
    <d v="2022-10-17T00:00:00"/>
    <n v="149.99"/>
    <d v="2026-05-30T16:12:08"/>
    <n v="43"/>
    <n v="9"/>
    <d v="2024-06-30T00:00:00"/>
  </r>
  <r>
    <s v="TRX0096"/>
    <x v="59"/>
    <s v="CUST002"/>
    <s v="002"/>
    <s v="Emma Wilson"/>
    <s v="P010"/>
    <x v="8"/>
    <x v="0"/>
    <n v="2"/>
    <n v="89.99"/>
    <x v="2"/>
    <x v="0"/>
    <x v="1"/>
    <d v="2023-12-15T00:00:00"/>
    <n v="179.98"/>
    <d v="2026-05-30T16:12:08"/>
    <n v="29"/>
    <n v="10"/>
    <d v="2024-06-30T00:00:00"/>
  </r>
  <r>
    <s v="TRX0192"/>
    <x v="60"/>
    <s v="CUST017"/>
    <s v="017"/>
    <s v="Charles Allen"/>
    <s v="P010"/>
    <x v="8"/>
    <x v="0"/>
    <n v="1"/>
    <n v="89.99"/>
    <x v="2"/>
    <x v="3"/>
    <x v="2"/>
    <d v="2022-08-29T00:00:00"/>
    <n v="89.99"/>
    <d v="2026-05-30T16:12:08"/>
    <n v="45"/>
    <n v="11"/>
    <d v="2024-06-30T00:00:00"/>
  </r>
  <r>
    <s v="TRX0052"/>
    <x v="61"/>
    <s v="CUST022"/>
    <s v="022"/>
    <s v="Susan Green"/>
    <s v="P010"/>
    <x v="8"/>
    <x v="0"/>
    <n v="1"/>
    <n v="89.99"/>
    <x v="0"/>
    <x v="1"/>
    <x v="2"/>
    <d v="2022-02-19T00:00:00"/>
    <n v="89.99"/>
    <d v="2026-05-30T16:12:08"/>
    <n v="51"/>
    <n v="12"/>
    <d v="2024-06-30T00:00:00"/>
  </r>
  <r>
    <s v="TRX0070"/>
    <x v="62"/>
    <s v="CUST007"/>
    <s v="007"/>
    <s v="David Martinez"/>
    <s v="P004"/>
    <x v="7"/>
    <x v="1"/>
    <n v="5"/>
    <n v="79.989999999999995"/>
    <x v="3"/>
    <x v="0"/>
    <x v="0"/>
    <d v="2023-02-24T00:00:00"/>
    <n v="399.95"/>
    <d v="2026-05-30T16:12:08"/>
    <n v="39"/>
    <n v="5"/>
    <d v="2024-06-30T00:00:00"/>
  </r>
  <r>
    <s v="TRX0086"/>
    <x v="63"/>
    <s v="CUST020"/>
    <s v="020"/>
    <s v="Margaret Wright"/>
    <s v="P008"/>
    <x v="2"/>
    <x v="2"/>
    <n v="1"/>
    <n v="149.99"/>
    <x v="2"/>
    <x v="2"/>
    <x v="0"/>
    <d v="2021-08-13T00:00:00"/>
    <n v="149.99"/>
    <d v="2026-05-30T16:12:08"/>
    <n v="57"/>
    <n v="10"/>
    <d v="2024-06-30T00:00:00"/>
  </r>
  <r>
    <s v="TRX0113"/>
    <x v="64"/>
    <s v="CUST003"/>
    <s v="003"/>
    <s v="Michael Brown"/>
    <s v="P002"/>
    <x v="5"/>
    <x v="0"/>
    <n v="2"/>
    <n v="699.99"/>
    <x v="2"/>
    <x v="4"/>
    <x v="1"/>
    <d v="2024-04-07T00:00:00"/>
    <n v="1399.98"/>
    <d v="2026-05-30T16:12:08"/>
    <n v="25"/>
    <n v="7"/>
    <d v="2024-06-30T00:00:00"/>
  </r>
  <r>
    <s v="TRX0114"/>
    <x v="65"/>
    <s v="CUST018"/>
    <s v="018"/>
    <s v="Barbara Young"/>
    <s v="P010"/>
    <x v="8"/>
    <x v="0"/>
    <n v="5"/>
    <n v="89.99"/>
    <x v="3"/>
    <x v="2"/>
    <x v="1"/>
    <d v="2023-08-23T00:00:00"/>
    <n v="449.95"/>
    <d v="2026-05-30T16:12:08"/>
    <n v="33"/>
    <n v="13"/>
    <d v="2024-06-30T00:00:00"/>
  </r>
  <r>
    <s v="TRX0136"/>
    <x v="66"/>
    <s v="CUST049"/>
    <s v="049"/>
    <s v="Raymond Ross"/>
    <s v="P005"/>
    <x v="1"/>
    <x v="1"/>
    <n v="4"/>
    <n v="59.99"/>
    <x v="0"/>
    <x v="1"/>
    <x v="2"/>
    <d v="2021-11-09T00:00:00"/>
    <n v="239.96"/>
    <d v="2026-05-30T16:12:08"/>
    <n v="54"/>
    <n v="12"/>
    <d v="2024-06-30T00:00:00"/>
  </r>
  <r>
    <s v="TRX0018"/>
    <x v="67"/>
    <s v="CUST013"/>
    <s v="013"/>
    <s v="Joseph Jackson"/>
    <s v="P003"/>
    <x v="3"/>
    <x v="0"/>
    <n v="1"/>
    <n v="149.99"/>
    <x v="0"/>
    <x v="0"/>
    <x v="2"/>
    <d v="2022-12-14T00:00:00"/>
    <n v="149.99"/>
    <d v="2026-05-30T16:12:08"/>
    <n v="41"/>
    <n v="2"/>
    <d v="2024-06-30T00:00:00"/>
  </r>
  <r>
    <s v="TRX0141"/>
    <x v="68"/>
    <s v="CUST033"/>
    <s v="033"/>
    <s v="Frank Torres"/>
    <s v="P007"/>
    <x v="6"/>
    <x v="2"/>
    <n v="1"/>
    <n v="299.99"/>
    <x v="1"/>
    <x v="2"/>
    <x v="1"/>
    <d v="2022-11-26T00:00:00"/>
    <n v="299.99"/>
    <d v="2026-05-30T16:12:08"/>
    <n v="42"/>
    <n v="5"/>
    <d v="2024-06-30T00:00:00"/>
  </r>
  <r>
    <s v="TRX0097"/>
    <x v="69"/>
    <s v="CUST033"/>
    <s v="033"/>
    <s v="Frank Torres"/>
    <s v="P006"/>
    <x v="9"/>
    <x v="2"/>
    <n v="2"/>
    <n v="199.99"/>
    <x v="0"/>
    <x v="2"/>
    <x v="0"/>
    <d v="2021-12-11T00:00:00"/>
    <n v="399.98"/>
    <d v="2026-05-30T16:12:08"/>
    <n v="53"/>
    <n v="3"/>
    <d v="2024-06-30T00:00:00"/>
  </r>
  <r>
    <s v="TRX0169"/>
    <x v="70"/>
    <s v="CUST047"/>
    <s v="047"/>
    <s v="Gerald Murphy"/>
    <s v="P005"/>
    <x v="1"/>
    <x v="1"/>
    <n v="3"/>
    <n v="59.99"/>
    <x v="1"/>
    <x v="3"/>
    <x v="0"/>
    <d v="2023-07-23T00:00:00"/>
    <n v="179.97"/>
    <d v="2026-05-30T16:12:08"/>
    <n v="34"/>
    <n v="13"/>
    <d v="2024-06-30T00:00:00"/>
  </r>
  <r>
    <s v="TRX0216"/>
    <x v="71"/>
    <s v="CUST041"/>
    <s v="041"/>
    <s v="Peter Richardson"/>
    <s v="P008"/>
    <x v="2"/>
    <x v="2"/>
    <n v="3"/>
    <n v="149.99"/>
    <x v="0"/>
    <x v="0"/>
    <x v="1"/>
    <d v="2023-09-30T00:00:00"/>
    <n v="449.97"/>
    <d v="2026-05-30T16:12:08"/>
    <n v="32"/>
    <n v="11"/>
    <d v="2024-06-30T00:00:00"/>
  </r>
  <r>
    <s v="TRX0131"/>
    <x v="72"/>
    <s v="CUST026"/>
    <s v="026"/>
    <s v="Karen Hill"/>
    <s v="P006"/>
    <x v="9"/>
    <x v="2"/>
    <n v="3"/>
    <n v="199.99"/>
    <x v="0"/>
    <x v="2"/>
    <x v="1"/>
    <d v="2023-11-24T00:00:00"/>
    <n v="599.97"/>
    <d v="2026-05-30T16:12:08"/>
    <n v="30"/>
    <n v="4"/>
    <d v="2024-06-30T00:00:00"/>
  </r>
  <r>
    <s v="TRX0162"/>
    <x v="73"/>
    <s v="CUST040"/>
    <s v="040"/>
    <s v="Sharon Butler"/>
    <s v="P001"/>
    <x v="4"/>
    <x v="0"/>
    <n v="1"/>
    <n v="899.99"/>
    <x v="0"/>
    <x v="0"/>
    <x v="2"/>
    <d v="2023-09-10T00:00:00"/>
    <n v="899.99"/>
    <d v="2026-05-30T16:12:08"/>
    <n v="32"/>
    <n v="8"/>
    <d v="2024-06-30T00:00:00"/>
  </r>
  <r>
    <s v="TRX0244"/>
    <x v="74"/>
    <s v="CUST013"/>
    <s v="013"/>
    <s v="Joseph Jackson"/>
    <s v="P001"/>
    <x v="4"/>
    <x v="0"/>
    <n v="5"/>
    <n v="899.99"/>
    <x v="3"/>
    <x v="1"/>
    <x v="2"/>
    <d v="2022-12-04T00:00:00"/>
    <n v="4499.95"/>
    <d v="2026-05-30T16:12:08"/>
    <n v="41"/>
    <n v="9"/>
    <d v="2024-06-30T00:00:00"/>
  </r>
  <r>
    <s v="TRX0006"/>
    <x v="75"/>
    <s v="CUST007"/>
    <s v="007"/>
    <s v="David Martinez"/>
    <s v="P005"/>
    <x v="1"/>
    <x v="1"/>
    <n v="2"/>
    <n v="59.99"/>
    <x v="0"/>
    <x v="2"/>
    <x v="2"/>
    <d v="2023-08-14T00:00:00"/>
    <n v="119.98"/>
    <d v="2026-05-30T16:12:08"/>
    <n v="33"/>
    <n v="14"/>
    <d v="2024-06-30T00:00:00"/>
  </r>
  <r>
    <s v="TRX0215"/>
    <x v="76"/>
    <s v="CUST047"/>
    <s v="047"/>
    <s v="Gerald Murphy"/>
    <s v="P009"/>
    <x v="0"/>
    <x v="0"/>
    <n v="4"/>
    <n v="249.99"/>
    <x v="3"/>
    <x v="0"/>
    <x v="2"/>
    <d v="2023-07-20T00:00:00"/>
    <n v="999.96"/>
    <d v="2026-05-30T16:12:08"/>
    <n v="34"/>
    <n v="7"/>
    <d v="2024-06-30T00:00:00"/>
  </r>
  <r>
    <s v="TRX0080"/>
    <x v="77"/>
    <s v="CUST018"/>
    <s v="018"/>
    <s v="Barbara Young"/>
    <s v="P009"/>
    <x v="0"/>
    <x v="0"/>
    <n v="2"/>
    <n v="249.99"/>
    <x v="0"/>
    <x v="2"/>
    <x v="1"/>
    <d v="2023-08-26T00:00:00"/>
    <n v="499.98"/>
    <d v="2026-05-30T16:12:08"/>
    <n v="33"/>
    <n v="8"/>
    <d v="2024-06-30T00:00:00"/>
  </r>
  <r>
    <s v="TRX0228"/>
    <x v="78"/>
    <s v="CUST019"/>
    <s v="019"/>
    <s v="Daniel King"/>
    <s v="P007"/>
    <x v="6"/>
    <x v="2"/>
    <n v="1"/>
    <n v="299.99"/>
    <x v="0"/>
    <x v="1"/>
    <x v="0"/>
    <d v="2023-02-25T00:00:00"/>
    <n v="299.99"/>
    <d v="2026-05-30T16:12:08"/>
    <n v="39"/>
    <n v="6"/>
    <d v="2024-06-30T00:00:00"/>
  </r>
  <r>
    <s v="TRX0157"/>
    <x v="79"/>
    <s v="CUST025"/>
    <s v="025"/>
    <s v="Mark Carter"/>
    <s v="P010"/>
    <x v="8"/>
    <x v="0"/>
    <n v="2"/>
    <n v="89.99"/>
    <x v="2"/>
    <x v="1"/>
    <x v="0"/>
    <d v="2023-02-19T00:00:00"/>
    <n v="179.98"/>
    <d v="2026-05-30T16:12:08"/>
    <n v="39"/>
    <n v="14"/>
    <d v="2024-06-30T00:00:00"/>
  </r>
  <r>
    <s v="TRX0002"/>
    <x v="80"/>
    <s v="CUST019"/>
    <s v="019"/>
    <s v="Daniel King"/>
    <s v="P007"/>
    <x v="6"/>
    <x v="2"/>
    <n v="3"/>
    <n v="299.99"/>
    <x v="0"/>
    <x v="0"/>
    <x v="0"/>
    <d v="2022-06-20T00:00:00"/>
    <n v="899.97"/>
    <d v="2026-05-30T16:12:08"/>
    <n v="47"/>
    <n v="7"/>
    <d v="2024-06-30T00:00:00"/>
  </r>
  <r>
    <s v="TRX0217"/>
    <x v="81"/>
    <s v="CUST025"/>
    <s v="025"/>
    <s v="Mark Carter"/>
    <s v="P002"/>
    <x v="5"/>
    <x v="0"/>
    <n v="2"/>
    <n v="699.99"/>
    <x v="1"/>
    <x v="2"/>
    <x v="1"/>
    <d v="2023-03-14T00:00:00"/>
    <n v="1399.98"/>
    <d v="2026-05-30T16:12:08"/>
    <n v="38"/>
    <n v="8"/>
    <d v="2024-07-31T00:00:00"/>
  </r>
  <r>
    <s v="TRX0249"/>
    <x v="82"/>
    <s v="CUST030"/>
    <s v="030"/>
    <s v="Helen Roberts"/>
    <s v="P001"/>
    <x v="4"/>
    <x v="0"/>
    <n v="4"/>
    <n v="899.99"/>
    <x v="3"/>
    <x v="1"/>
    <x v="2"/>
    <d v="2021-11-23T00:00:00"/>
    <n v="3599.96"/>
    <d v="2026-05-30T16:12:08"/>
    <n v="54"/>
    <n v="10"/>
    <d v="2024-07-31T00:00:00"/>
  </r>
  <r>
    <s v="TRX0065"/>
    <x v="83"/>
    <s v="CUST016"/>
    <s v="016"/>
    <s v="Elizabeth Hall"/>
    <s v="P008"/>
    <x v="2"/>
    <x v="2"/>
    <n v="2"/>
    <n v="149.99"/>
    <x v="1"/>
    <x v="3"/>
    <x v="0"/>
    <d v="2021-12-12T00:00:00"/>
    <n v="299.98"/>
    <d v="2026-05-30T16:12:08"/>
    <n v="53"/>
    <n v="12"/>
    <d v="2024-07-31T00:00:00"/>
  </r>
  <r>
    <s v="TRX0176"/>
    <x v="84"/>
    <s v="CUST044"/>
    <s v="044"/>
    <s v="Cynthia Price"/>
    <s v="P008"/>
    <x v="2"/>
    <x v="2"/>
    <n v="2"/>
    <n v="149.99"/>
    <x v="3"/>
    <x v="4"/>
    <x v="2"/>
    <d v="2022-04-16T00:00:00"/>
    <n v="299.98"/>
    <d v="2026-05-30T16:12:08"/>
    <n v="49"/>
    <n v="13"/>
    <d v="2024-07-31T00:00:00"/>
  </r>
  <r>
    <s v="TRX0101"/>
    <x v="85"/>
    <s v="CUST010"/>
    <s v="010"/>
    <s v="Maria Garcia"/>
    <s v="P010"/>
    <x v="8"/>
    <x v="0"/>
    <n v="1"/>
    <n v="89.99"/>
    <x v="1"/>
    <x v="2"/>
    <x v="2"/>
    <d v="2024-04-11T00:00:00"/>
    <n v="89.99"/>
    <d v="2026-05-30T16:12:08"/>
    <n v="25"/>
    <n v="15"/>
    <d v="2024-07-31T00:00:00"/>
  </r>
  <r>
    <s v="TRX0205"/>
    <x v="86"/>
    <s v="CUST025"/>
    <s v="025"/>
    <s v="Mark Carter"/>
    <s v="P007"/>
    <x v="6"/>
    <x v="2"/>
    <n v="5"/>
    <n v="299.99"/>
    <x v="1"/>
    <x v="2"/>
    <x v="0"/>
    <d v="2023-02-08T00:00:00"/>
    <n v="1499.95"/>
    <d v="2026-05-30T16:12:08"/>
    <n v="39"/>
    <n v="8"/>
    <d v="2024-07-31T00:00:00"/>
  </r>
  <r>
    <s v="TRX0020"/>
    <x v="87"/>
    <s v="CUST007"/>
    <s v="007"/>
    <s v="David Martinez"/>
    <s v="P003"/>
    <x v="3"/>
    <x v="0"/>
    <n v="4"/>
    <n v="149.99"/>
    <x v="3"/>
    <x v="1"/>
    <x v="1"/>
    <d v="2022-09-16T00:00:00"/>
    <n v="599.96"/>
    <d v="2026-05-30T16:12:08"/>
    <n v="44"/>
    <n v="3"/>
    <d v="2024-07-31T00:00:00"/>
  </r>
  <r>
    <s v="TRX0075"/>
    <x v="88"/>
    <s v="CUST020"/>
    <s v="020"/>
    <s v="Margaret Wright"/>
    <s v="P009"/>
    <x v="0"/>
    <x v="0"/>
    <n v="5"/>
    <n v="249.99"/>
    <x v="2"/>
    <x v="4"/>
    <x v="1"/>
    <d v="2022-08-09T00:00:00"/>
    <n v="1249.95"/>
    <d v="2026-05-30T16:12:08"/>
    <n v="45"/>
    <n v="9"/>
    <d v="2024-07-31T00:00:00"/>
  </r>
  <r>
    <s v="TRX0098"/>
    <x v="89"/>
    <s v="CUST026"/>
    <s v="026"/>
    <s v="Karen Hill"/>
    <s v="P009"/>
    <x v="0"/>
    <x v="0"/>
    <n v="3"/>
    <n v="249.99"/>
    <x v="2"/>
    <x v="2"/>
    <x v="1"/>
    <d v="2021-09-26T00:00:00"/>
    <n v="749.97"/>
    <d v="2026-05-30T16:12:08"/>
    <n v="56"/>
    <n v="10"/>
    <d v="2024-07-31T00:00:00"/>
  </r>
  <r>
    <s v="TRX0247"/>
    <x v="90"/>
    <s v="CUST046"/>
    <s v="046"/>
    <s v="Kathleen Bennett"/>
    <s v="P006"/>
    <x v="9"/>
    <x v="2"/>
    <n v="4"/>
    <n v="199.99"/>
    <x v="0"/>
    <x v="2"/>
    <x v="2"/>
    <d v="2021-09-19T00:00:00"/>
    <n v="799.96"/>
    <d v="2026-05-30T16:12:08"/>
    <n v="56"/>
    <n v="5"/>
    <d v="2024-07-31T00:00:00"/>
  </r>
  <r>
    <s v="TRX0027"/>
    <x v="91"/>
    <s v="CUST028"/>
    <s v="028"/>
    <s v="Betty Campbell"/>
    <s v="P006"/>
    <x v="9"/>
    <x v="2"/>
    <n v="5"/>
    <n v="199.99"/>
    <x v="0"/>
    <x v="2"/>
    <x v="1"/>
    <d v="2023-03-06T00:00:00"/>
    <n v="999.95"/>
    <d v="2026-05-30T16:12:08"/>
    <n v="38"/>
    <n v="6"/>
    <d v="2024-07-31T00:00:00"/>
  </r>
  <r>
    <s v="TRX0140"/>
    <x v="92"/>
    <s v="CUST025"/>
    <s v="025"/>
    <s v="Mark Carter"/>
    <s v="P010"/>
    <x v="8"/>
    <x v="0"/>
    <n v="2"/>
    <n v="89.99"/>
    <x v="0"/>
    <x v="4"/>
    <x v="1"/>
    <d v="2023-02-15T00:00:00"/>
    <n v="179.98"/>
    <d v="2026-05-30T16:12:08"/>
    <n v="39"/>
    <n v="16"/>
    <d v="2024-07-31T00:00:00"/>
  </r>
  <r>
    <s v="TRX0132"/>
    <x v="93"/>
    <s v="CUST047"/>
    <s v="047"/>
    <s v="Gerald Murphy"/>
    <s v="P001"/>
    <x v="4"/>
    <x v="0"/>
    <n v="5"/>
    <n v="899.99"/>
    <x v="3"/>
    <x v="4"/>
    <x v="0"/>
    <d v="2021-11-26T00:00:00"/>
    <n v="4499.95"/>
    <d v="2026-05-30T16:12:08"/>
    <n v="54"/>
    <n v="11"/>
    <d v="2024-07-31T00:00:00"/>
  </r>
  <r>
    <s v="TRX0031"/>
    <x v="94"/>
    <s v="CUST036"/>
    <s v="036"/>
    <s v="Nancy Collins"/>
    <s v="P003"/>
    <x v="3"/>
    <x v="0"/>
    <n v="3"/>
    <n v="149.99"/>
    <x v="2"/>
    <x v="4"/>
    <x v="0"/>
    <d v="2022-01-13T00:00:00"/>
    <n v="449.97"/>
    <d v="2026-05-30T16:12:08"/>
    <n v="52"/>
    <n v="4"/>
    <d v="2024-07-31T00:00:00"/>
  </r>
  <r>
    <s v="TRX0236"/>
    <x v="95"/>
    <s v="CUST044"/>
    <s v="044"/>
    <s v="Cynthia Price"/>
    <s v="P008"/>
    <x v="2"/>
    <x v="2"/>
    <n v="5"/>
    <n v="149.99"/>
    <x v="1"/>
    <x v="0"/>
    <x v="0"/>
    <d v="2024-01-19T00:00:00"/>
    <n v="749.95"/>
    <d v="2026-05-30T16:12:08"/>
    <n v="28"/>
    <n v="14"/>
    <d v="2024-07-31T00:00:00"/>
  </r>
  <r>
    <s v="TRX0001"/>
    <x v="96"/>
    <s v="CUST039"/>
    <s v="039"/>
    <s v="Lawrence Reed"/>
    <s v="P004"/>
    <x v="7"/>
    <x v="1"/>
    <n v="3"/>
    <n v="79.989999999999995"/>
    <x v="0"/>
    <x v="0"/>
    <x v="1"/>
    <d v="2022-08-06T00:00:00"/>
    <n v="239.97"/>
    <d v="2026-05-30T16:12:08"/>
    <n v="45"/>
    <n v="6"/>
    <d v="2024-07-31T00:00:00"/>
  </r>
  <r>
    <s v="TRX0037"/>
    <x v="97"/>
    <s v="CUST035"/>
    <s v="035"/>
    <s v="Harry Morgan"/>
    <s v="P009"/>
    <x v="0"/>
    <x v="0"/>
    <n v="2"/>
    <n v="249.99"/>
    <x v="0"/>
    <x v="1"/>
    <x v="2"/>
    <d v="2022-01-11T00:00:00"/>
    <n v="499.98"/>
    <d v="2026-05-30T16:12:08"/>
    <n v="52"/>
    <n v="11"/>
    <d v="2024-07-31T00:00:00"/>
  </r>
  <r>
    <s v="TRX0058"/>
    <x v="98"/>
    <s v="CUST047"/>
    <s v="047"/>
    <s v="Gerald Murphy"/>
    <s v="P002"/>
    <x v="5"/>
    <x v="0"/>
    <n v="1"/>
    <n v="699.99"/>
    <x v="0"/>
    <x v="0"/>
    <x v="1"/>
    <d v="2021-10-28T00:00:00"/>
    <n v="699.99"/>
    <d v="2026-05-30T16:12:08"/>
    <n v="55"/>
    <n v="9"/>
    <d v="2024-07-31T00:00:00"/>
  </r>
  <r>
    <s v="TRX0170"/>
    <x v="99"/>
    <s v="CUST034"/>
    <s v="034"/>
    <s v="Carol Evans"/>
    <s v="P003"/>
    <x v="3"/>
    <x v="0"/>
    <n v="3"/>
    <n v="149.99"/>
    <x v="0"/>
    <x v="3"/>
    <x v="1"/>
    <d v="2023-10-13T00:00:00"/>
    <n v="449.97"/>
    <d v="2026-05-30T16:12:08"/>
    <n v="31"/>
    <n v="5"/>
    <d v="2024-07-31T00:00:00"/>
  </r>
  <r>
    <s v="TRX0248"/>
    <x v="100"/>
    <s v="CUST032"/>
    <s v="032"/>
    <s v="Sandra Phillips"/>
    <s v="P002"/>
    <x v="5"/>
    <x v="0"/>
    <n v="2"/>
    <n v="699.99"/>
    <x v="1"/>
    <x v="2"/>
    <x v="1"/>
    <d v="2021-08-13T00:00:00"/>
    <n v="1399.98"/>
    <d v="2026-05-30T16:12:08"/>
    <n v="57"/>
    <n v="10"/>
    <d v="2024-07-31T00:00:00"/>
  </r>
  <r>
    <s v="TRX0099"/>
    <x v="101"/>
    <s v="CUST034"/>
    <s v="034"/>
    <s v="Carol Evans"/>
    <s v="P009"/>
    <x v="0"/>
    <x v="0"/>
    <n v="1"/>
    <n v="249.99"/>
    <x v="1"/>
    <x v="3"/>
    <x v="1"/>
    <d v="2022-05-04T00:00:00"/>
    <n v="249.99"/>
    <d v="2026-05-30T16:12:08"/>
    <n v="48"/>
    <n v="12"/>
    <d v="2024-07-31T00:00:00"/>
  </r>
  <r>
    <s v="TRX0074"/>
    <x v="102"/>
    <s v="CUST023"/>
    <s v="023"/>
    <s v="Paul Baker"/>
    <s v="P009"/>
    <x v="0"/>
    <x v="0"/>
    <n v="1"/>
    <n v="249.99"/>
    <x v="3"/>
    <x v="2"/>
    <x v="1"/>
    <d v="2024-02-10T00:00:00"/>
    <n v="249.99"/>
    <d v="2026-05-30T16:12:08"/>
    <n v="27"/>
    <n v="13"/>
    <d v="2024-07-31T00:00:00"/>
  </r>
  <r>
    <s v="TRX0225"/>
    <x v="103"/>
    <s v="CUST039"/>
    <s v="039"/>
    <s v="Lawrence Reed"/>
    <s v="P002"/>
    <x v="5"/>
    <x v="0"/>
    <n v="2"/>
    <n v="699.99"/>
    <x v="3"/>
    <x v="0"/>
    <x v="1"/>
    <d v="2022-11-05T00:00:00"/>
    <n v="1399.98"/>
    <d v="2026-05-30T16:12:08"/>
    <n v="42"/>
    <n v="11"/>
    <d v="2024-07-31T00:00:00"/>
  </r>
  <r>
    <s v="TRX0100"/>
    <x v="104"/>
    <s v="CUST031"/>
    <s v="031"/>
    <s v="Steven Turner"/>
    <s v="P005"/>
    <x v="1"/>
    <x v="1"/>
    <n v="3"/>
    <n v="59.99"/>
    <x v="1"/>
    <x v="0"/>
    <x v="1"/>
    <d v="2022-06-05T00:00:00"/>
    <n v="179.97"/>
    <d v="2026-05-30T16:12:08"/>
    <n v="47"/>
    <n v="15"/>
    <d v="2024-07-31T00:00:00"/>
  </r>
  <r>
    <s v="TRX0142"/>
    <x v="105"/>
    <s v="CUST002"/>
    <s v="002"/>
    <s v="Emma Wilson"/>
    <s v="P005"/>
    <x v="1"/>
    <x v="1"/>
    <n v="3"/>
    <n v="59.99"/>
    <x v="2"/>
    <x v="4"/>
    <x v="2"/>
    <d v="2022-07-06T00:00:00"/>
    <n v="179.97"/>
    <d v="2026-05-30T16:12:08"/>
    <n v="46"/>
    <n v="16"/>
    <d v="2024-07-31T00:00:00"/>
  </r>
  <r>
    <s v="TRX0112"/>
    <x v="106"/>
    <s v="CUST008"/>
    <s v="008"/>
    <s v="Jennifer Taylor"/>
    <s v="P004"/>
    <x v="7"/>
    <x v="1"/>
    <n v="4"/>
    <n v="79.989999999999995"/>
    <x v="0"/>
    <x v="2"/>
    <x v="0"/>
    <d v="2021-11-30T00:00:00"/>
    <n v="319.95999999999998"/>
    <d v="2026-05-30T16:12:08"/>
    <n v="54"/>
    <n v="7"/>
    <d v="2024-07-31T00:00:00"/>
  </r>
  <r>
    <s v="TRX0161"/>
    <x v="107"/>
    <s v="CUST017"/>
    <s v="017"/>
    <s v="Charles Allen"/>
    <s v="P004"/>
    <x v="7"/>
    <x v="1"/>
    <n v="1"/>
    <n v="79.989999999999995"/>
    <x v="0"/>
    <x v="3"/>
    <x v="0"/>
    <d v="2022-05-12T00:00:00"/>
    <n v="79.989999999999995"/>
    <d v="2026-05-30T16:12:08"/>
    <n v="48"/>
    <n v="8"/>
    <d v="2024-07-31T00:00:00"/>
  </r>
  <r>
    <s v="TRX0108"/>
    <x v="108"/>
    <s v="CUST024"/>
    <s v="024"/>
    <s v="Dorothy Nelson"/>
    <s v="P007"/>
    <x v="6"/>
    <x v="2"/>
    <n v="3"/>
    <n v="299.99"/>
    <x v="1"/>
    <x v="0"/>
    <x v="1"/>
    <d v="2021-10-25T00:00:00"/>
    <n v="899.97"/>
    <d v="2026-05-30T16:12:08"/>
    <n v="55"/>
    <n v="9"/>
    <d v="2024-07-31T00:00:00"/>
  </r>
  <r>
    <s v="TRX0211"/>
    <x v="109"/>
    <s v="CUST046"/>
    <s v="046"/>
    <s v="Kathleen Bennett"/>
    <s v="P010"/>
    <x v="8"/>
    <x v="0"/>
    <n v="2"/>
    <n v="89.99"/>
    <x v="1"/>
    <x v="1"/>
    <x v="1"/>
    <d v="2022-03-21T00:00:00"/>
    <n v="179.98"/>
    <d v="2026-05-30T16:12:08"/>
    <n v="50"/>
    <n v="17"/>
    <d v="2024-07-31T00:00:00"/>
  </r>
  <r>
    <s v="TRX0005"/>
    <x v="110"/>
    <s v="CUST042"/>
    <s v="042"/>
    <s v="Ruth Brooks"/>
    <s v="P003"/>
    <x v="3"/>
    <x v="0"/>
    <n v="4"/>
    <n v="149.99"/>
    <x v="0"/>
    <x v="2"/>
    <x v="0"/>
    <d v="2022-12-14T00:00:00"/>
    <n v="599.96"/>
    <d v="2026-05-30T16:12:08"/>
    <n v="41"/>
    <n v="6"/>
    <d v="2024-07-31T00:00:00"/>
  </r>
  <r>
    <s v="TRX0195"/>
    <x v="111"/>
    <s v="CUST026"/>
    <s v="026"/>
    <s v="Karen Hill"/>
    <s v="P009"/>
    <x v="0"/>
    <x v="0"/>
    <n v="2"/>
    <n v="249.99"/>
    <x v="2"/>
    <x v="1"/>
    <x v="0"/>
    <d v="2023-03-08T00:00:00"/>
    <n v="499.98"/>
    <d v="2026-05-30T16:12:08"/>
    <n v="38"/>
    <n v="14"/>
    <d v="2024-07-31T00:00:00"/>
  </r>
  <r>
    <s v="TRX0054"/>
    <x v="112"/>
    <s v="CUST004"/>
    <s v="004"/>
    <s v="Sarah Davis"/>
    <s v="P006"/>
    <x v="9"/>
    <x v="2"/>
    <n v="4"/>
    <n v="199.99"/>
    <x v="3"/>
    <x v="4"/>
    <x v="0"/>
    <d v="2021-09-19T00:00:00"/>
    <n v="799.96"/>
    <d v="2026-05-30T16:12:08"/>
    <n v="56"/>
    <n v="7"/>
    <d v="2024-08-31T00:00:00"/>
  </r>
  <r>
    <s v="TRX0077"/>
    <x v="113"/>
    <s v="CUST019"/>
    <s v="019"/>
    <s v="Daniel King"/>
    <s v="P010"/>
    <x v="8"/>
    <x v="0"/>
    <n v="5"/>
    <n v="89.99"/>
    <x v="1"/>
    <x v="4"/>
    <x v="1"/>
    <d v="2021-09-07T00:00:00"/>
    <n v="449.95"/>
    <d v="2026-05-30T16:12:08"/>
    <n v="56"/>
    <n v="18"/>
    <d v="2024-08-31T00:00:00"/>
  </r>
  <r>
    <s v="TRX0111"/>
    <x v="114"/>
    <s v="CUST011"/>
    <s v="011"/>
    <s v="William White"/>
    <s v="P003"/>
    <x v="3"/>
    <x v="0"/>
    <n v="1"/>
    <n v="149.99"/>
    <x v="2"/>
    <x v="4"/>
    <x v="2"/>
    <d v="2021-10-13T00:00:00"/>
    <n v="149.99"/>
    <d v="2026-05-30T16:12:08"/>
    <n v="55"/>
    <n v="7"/>
    <d v="2024-08-31T00:00:00"/>
  </r>
  <r>
    <s v="TRX0123"/>
    <x v="115"/>
    <s v="CUST041"/>
    <s v="041"/>
    <s v="Peter Richardson"/>
    <s v="P002"/>
    <x v="5"/>
    <x v="0"/>
    <n v="4"/>
    <n v="699.99"/>
    <x v="2"/>
    <x v="1"/>
    <x v="0"/>
    <d v="2022-02-26T00:00:00"/>
    <n v="2799.96"/>
    <d v="2026-05-30T16:12:08"/>
    <n v="51"/>
    <n v="12"/>
    <d v="2024-08-31T00:00:00"/>
  </r>
  <r>
    <s v="TRX0177"/>
    <x v="116"/>
    <s v="CUST032"/>
    <s v="032"/>
    <s v="Sandra Phillips"/>
    <s v="P001"/>
    <x v="4"/>
    <x v="0"/>
    <n v="3"/>
    <n v="899.99"/>
    <x v="1"/>
    <x v="2"/>
    <x v="2"/>
    <d v="2023-08-19T00:00:00"/>
    <n v="2699.97"/>
    <d v="2026-05-30T16:12:08"/>
    <n v="33"/>
    <n v="12"/>
    <d v="2024-08-31T00:00:00"/>
  </r>
  <r>
    <s v="TRX0119"/>
    <x v="117"/>
    <s v="CUST014"/>
    <s v="014"/>
    <s v="Linda Martin"/>
    <s v="P008"/>
    <x v="2"/>
    <x v="2"/>
    <n v="3"/>
    <n v="149.99"/>
    <x v="2"/>
    <x v="4"/>
    <x v="0"/>
    <d v="2022-11-21T00:00:00"/>
    <n v="449.97"/>
    <d v="2026-05-30T16:12:08"/>
    <n v="42"/>
    <n v="15"/>
    <d v="2024-08-31T00:00:00"/>
  </r>
  <r>
    <s v="TRX0181"/>
    <x v="118"/>
    <s v="CUST012"/>
    <s v="012"/>
    <s v="Patricia Moore"/>
    <s v="P007"/>
    <x v="6"/>
    <x v="2"/>
    <n v="2"/>
    <n v="299.99"/>
    <x v="3"/>
    <x v="0"/>
    <x v="0"/>
    <d v="2022-01-08T00:00:00"/>
    <n v="599.98"/>
    <d v="2026-05-30T16:12:08"/>
    <n v="52"/>
    <n v="10"/>
    <d v="2024-08-31T00:00:00"/>
  </r>
  <r>
    <s v="TRX0129"/>
    <x v="119"/>
    <s v="CUST015"/>
    <s v="015"/>
    <s v="Richard Lee"/>
    <s v="P006"/>
    <x v="9"/>
    <x v="2"/>
    <n v="1"/>
    <n v="199.99"/>
    <x v="3"/>
    <x v="4"/>
    <x v="2"/>
    <d v="2023-01-27T00:00:00"/>
    <n v="199.99"/>
    <d v="2026-05-30T16:12:08"/>
    <n v="40"/>
    <n v="8"/>
    <d v="2024-08-31T00:00:00"/>
  </r>
  <r>
    <s v="TRX0174"/>
    <x v="120"/>
    <s v="CUST003"/>
    <s v="003"/>
    <s v="Michael Brown"/>
    <s v="P007"/>
    <x v="6"/>
    <x v="2"/>
    <n v="4"/>
    <n v="299.99"/>
    <x v="0"/>
    <x v="0"/>
    <x v="1"/>
    <d v="2021-09-21T00:00:00"/>
    <n v="1199.96"/>
    <d v="2026-05-30T16:12:08"/>
    <n v="56"/>
    <n v="11"/>
    <d v="2024-08-31T00:00:00"/>
  </r>
  <r>
    <s v="TRX0146"/>
    <x v="121"/>
    <s v="CUST010"/>
    <s v="010"/>
    <s v="Maria Garcia"/>
    <s v="P005"/>
    <x v="1"/>
    <x v="1"/>
    <n v="2"/>
    <n v="59.99"/>
    <x v="1"/>
    <x v="0"/>
    <x v="0"/>
    <d v="2022-01-18T00:00:00"/>
    <n v="119.98"/>
    <d v="2026-05-30T16:12:08"/>
    <n v="52"/>
    <n v="17"/>
    <d v="2024-08-31T00:00:00"/>
  </r>
  <r>
    <s v="TRX0203"/>
    <x v="122"/>
    <s v="CUST032"/>
    <s v="032"/>
    <s v="Sandra Phillips"/>
    <s v="P003"/>
    <x v="3"/>
    <x v="0"/>
    <n v="4"/>
    <n v="149.99"/>
    <x v="1"/>
    <x v="2"/>
    <x v="1"/>
    <d v="2023-05-30T00:00:00"/>
    <n v="599.96"/>
    <d v="2026-05-30T16:12:08"/>
    <n v="36"/>
    <n v="8"/>
    <d v="2024-08-31T00:00:00"/>
  </r>
  <r>
    <s v="TRX0055"/>
    <x v="123"/>
    <s v="CUST016"/>
    <s v="016"/>
    <s v="Elizabeth Hall"/>
    <s v="P002"/>
    <x v="5"/>
    <x v="0"/>
    <n v="2"/>
    <n v="699.99"/>
    <x v="3"/>
    <x v="4"/>
    <x v="1"/>
    <d v="2023-12-14T00:00:00"/>
    <n v="1399.98"/>
    <d v="2026-05-30T16:12:08"/>
    <n v="29"/>
    <n v="13"/>
    <d v="2024-08-31T00:00:00"/>
  </r>
  <r>
    <s v="TRX0218"/>
    <x v="124"/>
    <s v="CUST034"/>
    <s v="034"/>
    <s v="Carol Evans"/>
    <s v="P008"/>
    <x v="2"/>
    <x v="2"/>
    <n v="3"/>
    <n v="149.99"/>
    <x v="1"/>
    <x v="1"/>
    <x v="2"/>
    <d v="2023-01-14T00:00:00"/>
    <n v="449.97"/>
    <d v="2026-05-30T16:12:08"/>
    <n v="40"/>
    <n v="16"/>
    <d v="2024-08-31T00:00:00"/>
  </r>
  <r>
    <s v="TRX0085"/>
    <x v="125"/>
    <s v="CUST019"/>
    <s v="019"/>
    <s v="Daniel King"/>
    <s v="P007"/>
    <x v="6"/>
    <x v="2"/>
    <n v="3"/>
    <n v="299.99"/>
    <x v="1"/>
    <x v="0"/>
    <x v="2"/>
    <d v="2023-09-05T00:00:00"/>
    <n v="899.97"/>
    <d v="2026-05-30T16:12:08"/>
    <n v="32"/>
    <n v="12"/>
    <d v="2024-08-31T00:00:00"/>
  </r>
  <r>
    <s v="TRX0158"/>
    <x v="126"/>
    <s v="CUST027"/>
    <s v="027"/>
    <s v="George Adams"/>
    <s v="P001"/>
    <x v="4"/>
    <x v="0"/>
    <n v="3"/>
    <n v="899.99"/>
    <x v="2"/>
    <x v="3"/>
    <x v="0"/>
    <d v="2023-10-16T00:00:00"/>
    <n v="2699.97"/>
    <d v="2026-05-30T16:12:08"/>
    <n v="31"/>
    <n v="13"/>
    <d v="2024-08-31T00:00:00"/>
  </r>
  <r>
    <s v="TRX0173"/>
    <x v="127"/>
    <s v="CUST018"/>
    <s v="018"/>
    <s v="Barbara Young"/>
    <s v="P002"/>
    <x v="5"/>
    <x v="0"/>
    <n v="5"/>
    <n v="699.99"/>
    <x v="0"/>
    <x v="4"/>
    <x v="2"/>
    <d v="2023-03-23T00:00:00"/>
    <n v="3499.95"/>
    <d v="2026-05-30T16:12:08"/>
    <n v="38"/>
    <n v="14"/>
    <d v="2024-08-31T00:00:00"/>
  </r>
  <r>
    <s v="TRX0034"/>
    <x v="128"/>
    <s v="CUST049"/>
    <s v="049"/>
    <s v="Raymond Ross"/>
    <s v="P002"/>
    <x v="5"/>
    <x v="0"/>
    <n v="4"/>
    <n v="699.99"/>
    <x v="1"/>
    <x v="0"/>
    <x v="0"/>
    <d v="2024-04-03T00:00:00"/>
    <n v="2799.96"/>
    <d v="2026-05-30T16:12:08"/>
    <n v="25"/>
    <n v="15"/>
    <d v="2024-08-31T00:00:00"/>
  </r>
  <r>
    <s v="TRX0189"/>
    <x v="129"/>
    <s v="CUST040"/>
    <s v="040"/>
    <s v="Sharon Butler"/>
    <s v="P001"/>
    <x v="4"/>
    <x v="0"/>
    <n v="1"/>
    <n v="899.99"/>
    <x v="1"/>
    <x v="4"/>
    <x v="2"/>
    <d v="2024-03-18T00:00:00"/>
    <n v="899.99"/>
    <d v="2026-05-30T16:12:08"/>
    <n v="26"/>
    <n v="14"/>
    <d v="2024-08-31T00:00:00"/>
  </r>
  <r>
    <s v="TRX0190"/>
    <x v="130"/>
    <s v="CUST039"/>
    <s v="039"/>
    <s v="Lawrence Reed"/>
    <s v="P003"/>
    <x v="3"/>
    <x v="0"/>
    <n v="2"/>
    <n v="149.99"/>
    <x v="1"/>
    <x v="3"/>
    <x v="0"/>
    <d v="2022-12-21T00:00:00"/>
    <n v="299.98"/>
    <d v="2026-05-30T16:12:08"/>
    <n v="41"/>
    <n v="9"/>
    <d v="2024-08-31T00:00:00"/>
  </r>
  <r>
    <s v="TRX0079"/>
    <x v="131"/>
    <s v="CUST039"/>
    <s v="039"/>
    <s v="Lawrence Reed"/>
    <s v="P010"/>
    <x v="8"/>
    <x v="0"/>
    <n v="3"/>
    <n v="89.99"/>
    <x v="2"/>
    <x v="0"/>
    <x v="0"/>
    <d v="2021-12-21T00:00:00"/>
    <n v="269.97000000000003"/>
    <d v="2026-05-30T16:12:08"/>
    <n v="53"/>
    <n v="19"/>
    <d v="2024-08-31T00:00:00"/>
  </r>
  <r>
    <s v="TRX0095"/>
    <x v="132"/>
    <s v="CUST046"/>
    <s v="046"/>
    <s v="Kathleen Bennett"/>
    <s v="P003"/>
    <x v="3"/>
    <x v="0"/>
    <n v="2"/>
    <n v="149.99"/>
    <x v="2"/>
    <x v="0"/>
    <x v="0"/>
    <d v="2021-10-04T00:00:00"/>
    <n v="299.98"/>
    <d v="2026-05-30T16:12:08"/>
    <n v="55"/>
    <n v="10"/>
    <d v="2024-08-31T00:00:00"/>
  </r>
  <r>
    <s v="TRX0009"/>
    <x v="133"/>
    <s v="CUST004"/>
    <s v="004"/>
    <s v="Sarah Davis"/>
    <s v="P002"/>
    <x v="5"/>
    <x v="0"/>
    <n v="2"/>
    <n v="699.99"/>
    <x v="0"/>
    <x v="0"/>
    <x v="0"/>
    <d v="2023-03-07T00:00:00"/>
    <n v="1399.98"/>
    <d v="2026-05-30T16:12:08"/>
    <n v="38"/>
    <n v="16"/>
    <d v="2024-08-31T00:00:00"/>
  </r>
  <r>
    <s v="TRX0167"/>
    <x v="134"/>
    <s v="CUST028"/>
    <s v="028"/>
    <s v="Betty Campbell"/>
    <s v="P002"/>
    <x v="5"/>
    <x v="0"/>
    <n v="5"/>
    <n v="699.99"/>
    <x v="0"/>
    <x v="2"/>
    <x v="1"/>
    <d v="2022-03-15T00:00:00"/>
    <n v="3499.95"/>
    <d v="2026-05-30T16:12:08"/>
    <n v="50"/>
    <n v="17"/>
    <d v="2024-08-31T00:00:00"/>
  </r>
  <r>
    <s v="TRX0153"/>
    <x v="135"/>
    <s v="CUST049"/>
    <s v="049"/>
    <s v="Raymond Ross"/>
    <s v="P010"/>
    <x v="8"/>
    <x v="0"/>
    <n v="3"/>
    <n v="89.99"/>
    <x v="1"/>
    <x v="2"/>
    <x v="2"/>
    <d v="2022-02-23T00:00:00"/>
    <n v="269.97000000000003"/>
    <d v="2026-05-30T16:12:08"/>
    <n v="51"/>
    <n v="20"/>
    <d v="2024-08-31T00:00:00"/>
  </r>
  <r>
    <s v="TRX0057"/>
    <x v="136"/>
    <s v="CUST023"/>
    <s v="023"/>
    <s v="Paul Baker"/>
    <s v="P009"/>
    <x v="0"/>
    <x v="0"/>
    <n v="5"/>
    <n v="249.99"/>
    <x v="1"/>
    <x v="1"/>
    <x v="2"/>
    <d v="2022-11-16T00:00:00"/>
    <n v="1249.95"/>
    <d v="2026-05-30T16:12:08"/>
    <n v="42"/>
    <n v="15"/>
    <d v="2024-08-31T00:00:00"/>
  </r>
  <r>
    <s v="TRX0017"/>
    <x v="137"/>
    <s v="CUST026"/>
    <s v="026"/>
    <s v="Karen Hill"/>
    <s v="P007"/>
    <x v="6"/>
    <x v="2"/>
    <n v="3"/>
    <n v="299.99"/>
    <x v="1"/>
    <x v="1"/>
    <x v="2"/>
    <d v="2021-11-02T00:00:00"/>
    <n v="899.97"/>
    <d v="2026-05-30T16:12:08"/>
    <n v="54"/>
    <n v="13"/>
    <d v="2024-08-31T00:00:00"/>
  </r>
  <r>
    <s v="TRX0060"/>
    <x v="138"/>
    <s v="CUST012"/>
    <s v="012"/>
    <s v="Patricia Moore"/>
    <s v="P010"/>
    <x v="8"/>
    <x v="0"/>
    <n v="3"/>
    <n v="89.99"/>
    <x v="1"/>
    <x v="2"/>
    <x v="1"/>
    <d v="2021-08-12T00:00:00"/>
    <n v="269.97000000000003"/>
    <d v="2026-05-30T16:12:08"/>
    <n v="57"/>
    <n v="21"/>
    <d v="2024-08-31T00:00:00"/>
  </r>
  <r>
    <s v="TRX0109"/>
    <x v="139"/>
    <s v="CUST010"/>
    <s v="010"/>
    <s v="Maria Garcia"/>
    <s v="P008"/>
    <x v="2"/>
    <x v="2"/>
    <n v="2"/>
    <n v="149.99"/>
    <x v="1"/>
    <x v="3"/>
    <x v="1"/>
    <d v="2022-10-14T00:00:00"/>
    <n v="299.98"/>
    <d v="2026-05-30T16:12:08"/>
    <n v="43"/>
    <n v="17"/>
    <d v="2024-08-31T00:00:00"/>
  </r>
  <r>
    <s v="TRX0090"/>
    <x v="140"/>
    <s v="CUST020"/>
    <s v="020"/>
    <s v="Margaret Wright"/>
    <s v="P009"/>
    <x v="0"/>
    <x v="0"/>
    <n v="1"/>
    <n v="249.99"/>
    <x v="1"/>
    <x v="2"/>
    <x v="1"/>
    <d v="2022-09-24T00:00:00"/>
    <n v="249.99"/>
    <d v="2026-05-30T16:12:08"/>
    <n v="44"/>
    <n v="16"/>
    <d v="2024-08-31T00:00:00"/>
  </r>
  <r>
    <s v="TRX0035"/>
    <x v="141"/>
    <s v="CUST041"/>
    <s v="041"/>
    <s v="Peter Richardson"/>
    <s v="P003"/>
    <x v="3"/>
    <x v="0"/>
    <n v="3"/>
    <n v="149.99"/>
    <x v="0"/>
    <x v="2"/>
    <x v="0"/>
    <d v="2022-07-27T00:00:00"/>
    <n v="449.97"/>
    <d v="2026-05-30T16:12:08"/>
    <n v="46"/>
    <n v="11"/>
    <d v="2024-08-31T00:00:00"/>
  </r>
  <r>
    <s v="TRX0172"/>
    <x v="142"/>
    <s v="CUST023"/>
    <s v="023"/>
    <s v="Paul Baker"/>
    <s v="P005"/>
    <x v="1"/>
    <x v="1"/>
    <n v="5"/>
    <n v="59.99"/>
    <x v="2"/>
    <x v="3"/>
    <x v="1"/>
    <d v="2022-05-13T00:00:00"/>
    <n v="299.95"/>
    <d v="2026-05-30T16:12:08"/>
    <n v="48"/>
    <n v="18"/>
    <d v="2024-08-31T00:00:00"/>
  </r>
  <r>
    <s v="TRX0076"/>
    <x v="143"/>
    <s v="CUST012"/>
    <s v="012"/>
    <s v="Patricia Moore"/>
    <s v="P009"/>
    <x v="0"/>
    <x v="0"/>
    <n v="4"/>
    <n v="249.99"/>
    <x v="1"/>
    <x v="3"/>
    <x v="2"/>
    <d v="2022-04-08T00:00:00"/>
    <n v="999.96"/>
    <d v="2026-05-30T16:12:08"/>
    <n v="49"/>
    <n v="17"/>
    <d v="2024-09-30T00:00:00"/>
  </r>
  <r>
    <s v="TRX0210"/>
    <x v="144"/>
    <s v="CUST004"/>
    <s v="004"/>
    <s v="Sarah Davis"/>
    <s v="P008"/>
    <x v="2"/>
    <x v="2"/>
    <n v="5"/>
    <n v="149.99"/>
    <x v="2"/>
    <x v="0"/>
    <x v="0"/>
    <d v="2022-12-06T00:00:00"/>
    <n v="749.95"/>
    <d v="2026-05-30T16:12:08"/>
    <n v="41"/>
    <n v="18"/>
    <d v="2024-09-30T00:00:00"/>
  </r>
  <r>
    <s v="TRX0149"/>
    <x v="145"/>
    <s v="CUST027"/>
    <s v="027"/>
    <s v="George Adams"/>
    <s v="P005"/>
    <x v="1"/>
    <x v="1"/>
    <n v="3"/>
    <n v="59.99"/>
    <x v="3"/>
    <x v="1"/>
    <x v="2"/>
    <d v="2023-11-30T00:00:00"/>
    <n v="179.97"/>
    <d v="2026-05-30T16:12:08"/>
    <n v="30"/>
    <n v="19"/>
    <d v="2024-09-30T00:00:00"/>
  </r>
  <r>
    <s v="TRX0073"/>
    <x v="146"/>
    <s v="CUST032"/>
    <s v="032"/>
    <s v="Sandra Phillips"/>
    <s v="P008"/>
    <x v="2"/>
    <x v="2"/>
    <n v="5"/>
    <n v="149.99"/>
    <x v="0"/>
    <x v="2"/>
    <x v="0"/>
    <d v="2022-11-04T00:00:00"/>
    <n v="749.95"/>
    <d v="2026-05-30T16:12:08"/>
    <n v="42"/>
    <n v="19"/>
    <d v="2024-09-30T00:00:00"/>
  </r>
  <r>
    <s v="TRX0033"/>
    <x v="147"/>
    <s v="CUST025"/>
    <s v="025"/>
    <s v="Mark Carter"/>
    <s v="P002"/>
    <x v="5"/>
    <x v="0"/>
    <n v="2"/>
    <n v="699.99"/>
    <x v="2"/>
    <x v="3"/>
    <x v="2"/>
    <d v="2022-07-28T00:00:00"/>
    <n v="1399.98"/>
    <d v="2026-05-30T16:12:08"/>
    <n v="46"/>
    <n v="18"/>
    <d v="2024-09-30T00:00:00"/>
  </r>
  <r>
    <s v="TRX0160"/>
    <x v="148"/>
    <s v="CUST029"/>
    <s v="029"/>
    <s v="Edward Mitchell"/>
    <s v="P006"/>
    <x v="9"/>
    <x v="2"/>
    <n v="4"/>
    <n v="199.99"/>
    <x v="3"/>
    <x v="0"/>
    <x v="1"/>
    <d v="2021-08-19T00:00:00"/>
    <n v="799.96"/>
    <d v="2026-05-30T16:12:08"/>
    <n v="57"/>
    <n v="9"/>
    <d v="2024-09-30T00:00:00"/>
  </r>
  <r>
    <s v="TRX0145"/>
    <x v="149"/>
    <s v="CUST033"/>
    <s v="033"/>
    <s v="Frank Torres"/>
    <s v="P005"/>
    <x v="1"/>
    <x v="1"/>
    <n v="1"/>
    <n v="59.99"/>
    <x v="3"/>
    <x v="3"/>
    <x v="2"/>
    <d v="2021-12-30T00:00:00"/>
    <n v="59.99"/>
    <d v="2026-05-30T16:12:08"/>
    <n v="53"/>
    <n v="20"/>
    <d v="2024-09-30T00:00:00"/>
  </r>
  <r>
    <s v="TRX0148"/>
    <x v="150"/>
    <s v="CUST004"/>
    <s v="004"/>
    <s v="Sarah Davis"/>
    <s v="P002"/>
    <x v="5"/>
    <x v="0"/>
    <n v="3"/>
    <n v="699.99"/>
    <x v="2"/>
    <x v="3"/>
    <x v="2"/>
    <d v="2022-01-22T00:00:00"/>
    <n v="2099.9699999999998"/>
    <d v="2026-05-30T16:12:08"/>
    <n v="52"/>
    <n v="19"/>
    <d v="2024-09-30T00:00:00"/>
  </r>
  <r>
    <s v="TRX0012"/>
    <x v="151"/>
    <s v="CUST045"/>
    <s v="045"/>
    <s v="Douglas Watson"/>
    <s v="P009"/>
    <x v="0"/>
    <x v="0"/>
    <n v="5"/>
    <n v="249.99"/>
    <x v="1"/>
    <x v="2"/>
    <x v="0"/>
    <d v="2022-11-08T00:00:00"/>
    <n v="1249.95"/>
    <d v="2026-05-30T16:12:08"/>
    <n v="42"/>
    <n v="18"/>
    <d v="2024-09-30T00:00:00"/>
  </r>
  <r>
    <s v="TRX0206"/>
    <x v="152"/>
    <s v="CUST014"/>
    <s v="014"/>
    <s v="Linda Martin"/>
    <s v="P008"/>
    <x v="2"/>
    <x v="2"/>
    <n v="2"/>
    <n v="149.99"/>
    <x v="0"/>
    <x v="1"/>
    <x v="2"/>
    <d v="2023-06-24T00:00:00"/>
    <n v="299.98"/>
    <d v="2026-05-30T16:12:08"/>
    <n v="35"/>
    <n v="20"/>
    <d v="2024-09-30T00:00:00"/>
  </r>
  <r>
    <s v="TRX0045"/>
    <x v="153"/>
    <s v="CUST021"/>
    <s v="021"/>
    <s v="Kevin Scott"/>
    <s v="P007"/>
    <x v="6"/>
    <x v="2"/>
    <n v="3"/>
    <n v="299.99"/>
    <x v="0"/>
    <x v="1"/>
    <x v="1"/>
    <d v="2022-04-08T00:00:00"/>
    <n v="899.97"/>
    <d v="2026-05-30T16:12:08"/>
    <n v="49"/>
    <n v="14"/>
    <d v="2024-09-30T00:00:00"/>
  </r>
  <r>
    <s v="TRX0094"/>
    <x v="154"/>
    <s v="CUST017"/>
    <s v="017"/>
    <s v="Charles Allen"/>
    <s v="P009"/>
    <x v="0"/>
    <x v="0"/>
    <n v="5"/>
    <n v="249.99"/>
    <x v="0"/>
    <x v="0"/>
    <x v="1"/>
    <d v="2021-10-16T00:00:00"/>
    <n v="1249.95"/>
    <d v="2026-05-30T16:12:08"/>
    <n v="55"/>
    <n v="19"/>
    <d v="2024-09-30T00:00:00"/>
  </r>
  <r>
    <s v="TRX0133"/>
    <x v="155"/>
    <s v="CUST013"/>
    <s v="013"/>
    <s v="Joseph Jackson"/>
    <s v="P003"/>
    <x v="3"/>
    <x v="0"/>
    <n v="2"/>
    <n v="149.99"/>
    <x v="0"/>
    <x v="1"/>
    <x v="1"/>
    <d v="2021-10-06T00:00:00"/>
    <n v="299.98"/>
    <d v="2026-05-30T16:12:08"/>
    <n v="55"/>
    <n v="12"/>
    <d v="2024-09-30T00:00:00"/>
  </r>
  <r>
    <s v="TRX0201"/>
    <x v="156"/>
    <s v="CUST025"/>
    <s v="025"/>
    <s v="Mark Carter"/>
    <s v="P002"/>
    <x v="5"/>
    <x v="0"/>
    <n v="5"/>
    <n v="699.99"/>
    <x v="3"/>
    <x v="3"/>
    <x v="2"/>
    <d v="2023-01-18T00:00:00"/>
    <n v="3499.95"/>
    <d v="2026-05-30T16:12:08"/>
    <n v="40"/>
    <n v="20"/>
    <d v="2024-09-30T00:00:00"/>
  </r>
  <r>
    <s v="TRX0137"/>
    <x v="157"/>
    <s v="CUST011"/>
    <s v="011"/>
    <s v="William White"/>
    <s v="P009"/>
    <x v="0"/>
    <x v="0"/>
    <n v="4"/>
    <n v="249.99"/>
    <x v="2"/>
    <x v="4"/>
    <x v="1"/>
    <d v="2023-06-21T00:00:00"/>
    <n v="999.96"/>
    <d v="2026-05-30T16:12:08"/>
    <n v="35"/>
    <n v="20"/>
    <d v="2024-09-30T00:00:00"/>
  </r>
  <r>
    <s v="TRX0066"/>
    <x v="158"/>
    <s v="CUST024"/>
    <s v="024"/>
    <s v="Dorothy Nelson"/>
    <s v="P002"/>
    <x v="5"/>
    <x v="0"/>
    <n v="4"/>
    <n v="699.99"/>
    <x v="1"/>
    <x v="2"/>
    <x v="1"/>
    <d v="2022-05-22T00:00:00"/>
    <n v="2799.96"/>
    <d v="2026-05-30T16:12:08"/>
    <n v="48"/>
    <n v="21"/>
    <d v="2024-09-30T00:00:00"/>
  </r>
  <r>
    <s v="TRX0180"/>
    <x v="159"/>
    <s v="CUST036"/>
    <s v="036"/>
    <s v="Nancy Collins"/>
    <s v="P009"/>
    <x v="0"/>
    <x v="0"/>
    <n v="2"/>
    <n v="249.99"/>
    <x v="1"/>
    <x v="0"/>
    <x v="1"/>
    <d v="2021-07-19T00:00:00"/>
    <n v="499.98"/>
    <d v="2026-05-30T16:12:08"/>
    <n v="58"/>
    <n v="21"/>
    <d v="2024-09-30T00:00:00"/>
  </r>
  <r>
    <s v="TRX0082"/>
    <x v="160"/>
    <s v="CUST005"/>
    <s v="005"/>
    <s v="James Johnson"/>
    <s v="P005"/>
    <x v="1"/>
    <x v="1"/>
    <n v="3"/>
    <n v="59.99"/>
    <x v="0"/>
    <x v="0"/>
    <x v="1"/>
    <d v="2023-05-06T00:00:00"/>
    <n v="179.97"/>
    <d v="2026-05-30T16:12:08"/>
    <n v="36"/>
    <n v="21"/>
    <d v="2024-09-30T00:00:00"/>
  </r>
  <r>
    <s v="TRX0036"/>
    <x v="161"/>
    <s v="CUST008"/>
    <s v="008"/>
    <s v="Jennifer Taylor"/>
    <s v="P004"/>
    <x v="7"/>
    <x v="1"/>
    <n v="4"/>
    <n v="79.989999999999995"/>
    <x v="3"/>
    <x v="4"/>
    <x v="2"/>
    <d v="2022-12-26T00:00:00"/>
    <n v="319.95999999999998"/>
    <d v="2026-05-30T16:12:08"/>
    <n v="41"/>
    <n v="9"/>
    <d v="2024-09-30T00:00:00"/>
  </r>
  <r>
    <s v="TRX0198"/>
    <x v="162"/>
    <s v="CUST030"/>
    <s v="030"/>
    <s v="Helen Roberts"/>
    <s v="P004"/>
    <x v="7"/>
    <x v="1"/>
    <n v="3"/>
    <n v="79.989999999999995"/>
    <x v="3"/>
    <x v="4"/>
    <x v="2"/>
    <d v="2022-08-06T00:00:00"/>
    <n v="239.97"/>
    <d v="2026-05-30T16:12:08"/>
    <n v="45"/>
    <n v="10"/>
    <d v="2024-09-30T00:00:00"/>
  </r>
  <r>
    <s v="TRX0032"/>
    <x v="163"/>
    <s v="CUST041"/>
    <s v="041"/>
    <s v="Peter Richardson"/>
    <s v="P001"/>
    <x v="4"/>
    <x v="0"/>
    <n v="2"/>
    <n v="899.99"/>
    <x v="0"/>
    <x v="2"/>
    <x v="0"/>
    <d v="2021-07-29T00:00:00"/>
    <n v="1799.98"/>
    <d v="2026-05-30T16:12:08"/>
    <n v="58"/>
    <n v="15"/>
    <d v="2024-09-30T00:00:00"/>
  </r>
  <r>
    <s v="TRX0081"/>
    <x v="164"/>
    <s v="CUST007"/>
    <s v="007"/>
    <s v="David Martinez"/>
    <s v="P008"/>
    <x v="2"/>
    <x v="2"/>
    <n v="1"/>
    <n v="149.99"/>
    <x v="3"/>
    <x v="4"/>
    <x v="2"/>
    <d v="2023-10-01T00:00:00"/>
    <n v="149.99"/>
    <d v="2026-05-30T16:12:08"/>
    <n v="31"/>
    <n v="21"/>
    <d v="2024-09-30T00:00:00"/>
  </r>
  <r>
    <s v="TRX0224"/>
    <x v="165"/>
    <s v="CUST031"/>
    <s v="031"/>
    <s v="Steven Turner"/>
    <s v="P007"/>
    <x v="6"/>
    <x v="2"/>
    <n v="2"/>
    <n v="299.99"/>
    <x v="0"/>
    <x v="4"/>
    <x v="1"/>
    <d v="2022-06-12T00:00:00"/>
    <n v="599.98"/>
    <d v="2026-05-30T16:12:08"/>
    <n v="47"/>
    <n v="15"/>
    <d v="2024-09-30T00:00:00"/>
  </r>
  <r>
    <s v="TRX0028"/>
    <x v="166"/>
    <s v="CUST002"/>
    <s v="002"/>
    <s v="Emma Wilson"/>
    <s v="P005"/>
    <x v="1"/>
    <x v="1"/>
    <n v="2"/>
    <n v="59.99"/>
    <x v="0"/>
    <x v="3"/>
    <x v="0"/>
    <d v="2023-09-22T00:00:00"/>
    <n v="119.98"/>
    <d v="2026-05-30T16:12:08"/>
    <n v="32"/>
    <n v="22"/>
    <d v="2024-09-30T00:00:00"/>
  </r>
  <r>
    <s v="TRX0183"/>
    <x v="167"/>
    <s v="CUST007"/>
    <s v="007"/>
    <s v="David Martinez"/>
    <s v="P010"/>
    <x v="8"/>
    <x v="0"/>
    <n v="1"/>
    <n v="89.99"/>
    <x v="3"/>
    <x v="0"/>
    <x v="2"/>
    <d v="2022-07-18T00:00:00"/>
    <n v="89.99"/>
    <d v="2026-05-30T16:12:08"/>
    <n v="46"/>
    <n v="22"/>
    <d v="2024-09-30T00:00:00"/>
  </r>
  <r>
    <s v="TRX0163"/>
    <x v="168"/>
    <s v="CUST019"/>
    <s v="019"/>
    <s v="Daniel King"/>
    <s v="P001"/>
    <x v="4"/>
    <x v="0"/>
    <n v="5"/>
    <n v="899.99"/>
    <x v="3"/>
    <x v="4"/>
    <x v="2"/>
    <d v="2022-03-05T00:00:00"/>
    <n v="4499.95"/>
    <d v="2026-05-30T16:12:08"/>
    <n v="50"/>
    <n v="16"/>
    <d v="2024-09-30T00:00:00"/>
  </r>
  <r>
    <s v="TRX0046"/>
    <x v="169"/>
    <s v="CUST003"/>
    <s v="003"/>
    <s v="Michael Brown"/>
    <s v="P008"/>
    <x v="2"/>
    <x v="2"/>
    <n v="2"/>
    <n v="149.99"/>
    <x v="0"/>
    <x v="1"/>
    <x v="0"/>
    <d v="2023-11-09T00:00:00"/>
    <n v="299.98"/>
    <d v="2026-05-30T16:12:08"/>
    <n v="30"/>
    <n v="22"/>
    <d v="2024-09-30T00:00:00"/>
  </r>
  <r>
    <s v="TRX0164"/>
    <x v="170"/>
    <s v="CUST014"/>
    <s v="014"/>
    <s v="Linda Martin"/>
    <s v="P003"/>
    <x v="3"/>
    <x v="0"/>
    <n v="2"/>
    <n v="149.99"/>
    <x v="3"/>
    <x v="3"/>
    <x v="1"/>
    <d v="2023-12-20T00:00:00"/>
    <n v="299.98"/>
    <d v="2026-05-30T16:12:08"/>
    <n v="29"/>
    <n v="13"/>
    <d v="2024-09-30T00:00:00"/>
  </r>
  <r>
    <s v="TRX0008"/>
    <x v="171"/>
    <s v="CUST007"/>
    <s v="007"/>
    <s v="David Martinez"/>
    <s v="P008"/>
    <x v="2"/>
    <x v="2"/>
    <n v="3"/>
    <n v="149.99"/>
    <x v="3"/>
    <x v="2"/>
    <x v="2"/>
    <d v="2021-11-22T00:00:00"/>
    <n v="449.97"/>
    <d v="2026-05-30T16:12:08"/>
    <n v="54"/>
    <n v="23"/>
    <d v="2024-09-30T00:00:00"/>
  </r>
  <r>
    <s v="TRX0171"/>
    <x v="172"/>
    <s v="CUST021"/>
    <s v="021"/>
    <s v="Kevin Scott"/>
    <s v="P007"/>
    <x v="6"/>
    <x v="2"/>
    <n v="2"/>
    <n v="299.99"/>
    <x v="2"/>
    <x v="1"/>
    <x v="0"/>
    <d v="2022-06-09T00:00:00"/>
    <n v="599.98"/>
    <d v="2026-05-30T16:12:08"/>
    <n v="47"/>
    <n v="16"/>
    <d v="2024-09-30T00:00:00"/>
  </r>
  <r>
    <s v="TRX0143"/>
    <x v="173"/>
    <s v="CUST003"/>
    <s v="003"/>
    <s v="Michael Brown"/>
    <s v="P007"/>
    <x v="6"/>
    <x v="2"/>
    <n v="2"/>
    <n v="299.99"/>
    <x v="0"/>
    <x v="3"/>
    <x v="0"/>
    <d v="2022-07-29T00:00:00"/>
    <n v="599.98"/>
    <d v="2026-05-30T16:12:08"/>
    <n v="46"/>
    <n v="17"/>
    <d v="2024-10-31T00:00:00"/>
  </r>
  <r>
    <s v="TRX0165"/>
    <x v="174"/>
    <s v="CUST030"/>
    <s v="030"/>
    <s v="Helen Roberts"/>
    <s v="P006"/>
    <x v="9"/>
    <x v="2"/>
    <n v="4"/>
    <n v="199.99"/>
    <x v="1"/>
    <x v="0"/>
    <x v="0"/>
    <d v="2021-11-23T00:00:00"/>
    <n v="799.96"/>
    <d v="2026-05-30T16:12:08"/>
    <n v="54"/>
    <n v="10"/>
    <d v="2024-10-31T00:00:00"/>
  </r>
  <r>
    <s v="TRX0156"/>
    <x v="175"/>
    <s v="CUST009"/>
    <s v="009"/>
    <s v="Robert Thomas"/>
    <s v="P010"/>
    <x v="8"/>
    <x v="0"/>
    <n v="1"/>
    <n v="89.99"/>
    <x v="1"/>
    <x v="1"/>
    <x v="1"/>
    <d v="2022-01-30T00:00:00"/>
    <n v="89.99"/>
    <d v="2026-05-30T16:12:08"/>
    <n v="52"/>
    <n v="23"/>
    <d v="2024-10-31T00:00:00"/>
  </r>
  <r>
    <s v="TRX0147"/>
    <x v="176"/>
    <s v="CUST036"/>
    <s v="036"/>
    <s v="Nancy Collins"/>
    <s v="P008"/>
    <x v="2"/>
    <x v="2"/>
    <n v="5"/>
    <n v="149.99"/>
    <x v="0"/>
    <x v="0"/>
    <x v="1"/>
    <d v="2024-02-25T00:00:00"/>
    <n v="749.95"/>
    <d v="2026-05-30T16:12:08"/>
    <n v="27"/>
    <n v="24"/>
    <d v="2024-10-31T00:00:00"/>
  </r>
  <r>
    <s v="TRX0207"/>
    <x v="177"/>
    <s v="CUST025"/>
    <s v="025"/>
    <s v="Mark Carter"/>
    <s v="P001"/>
    <x v="4"/>
    <x v="0"/>
    <n v="1"/>
    <n v="899.99"/>
    <x v="2"/>
    <x v="2"/>
    <x v="1"/>
    <d v="2023-05-04T00:00:00"/>
    <n v="899.99"/>
    <d v="2026-05-30T16:12:08"/>
    <n v="36"/>
    <n v="17"/>
    <d v="2024-10-31T00:00:00"/>
  </r>
  <r>
    <s v="TRX0056"/>
    <x v="178"/>
    <s v="CUST019"/>
    <s v="019"/>
    <s v="Daniel King"/>
    <s v="P010"/>
    <x v="8"/>
    <x v="0"/>
    <n v="2"/>
    <n v="89.99"/>
    <x v="1"/>
    <x v="1"/>
    <x v="1"/>
    <d v="2022-01-03T00:00:00"/>
    <n v="179.98"/>
    <d v="2026-05-30T16:12:08"/>
    <n v="52"/>
    <n v="24"/>
    <d v="2024-10-31T00:00:00"/>
  </r>
  <r>
    <s v="TRX0026"/>
    <x v="179"/>
    <s v="CUST037"/>
    <s v="037"/>
    <s v="Arthur Edwards"/>
    <s v="P001"/>
    <x v="4"/>
    <x v="0"/>
    <n v="1"/>
    <n v="899.99"/>
    <x v="2"/>
    <x v="2"/>
    <x v="2"/>
    <d v="2022-07-10T00:00:00"/>
    <n v="899.99"/>
    <d v="2026-05-30T16:12:08"/>
    <n v="46"/>
    <n v="18"/>
    <d v="2024-10-31T00:00:00"/>
  </r>
  <r>
    <s v="TRX0237"/>
    <x v="180"/>
    <s v="CUST006"/>
    <s v="006"/>
    <s v="Lisa Anderson"/>
    <s v="P003"/>
    <x v="3"/>
    <x v="0"/>
    <n v="5"/>
    <n v="149.99"/>
    <x v="2"/>
    <x v="4"/>
    <x v="1"/>
    <d v="2022-09-20T00:00:00"/>
    <n v="749.95"/>
    <d v="2026-05-30T16:12:08"/>
    <n v="44"/>
    <n v="14"/>
    <d v="2024-10-31T00:00:00"/>
  </r>
  <r>
    <s v="TRX0091"/>
    <x v="181"/>
    <s v="CUST003"/>
    <s v="003"/>
    <s v="Michael Brown"/>
    <s v="P007"/>
    <x v="6"/>
    <x v="2"/>
    <n v="3"/>
    <n v="299.99"/>
    <x v="0"/>
    <x v="1"/>
    <x v="2"/>
    <d v="2021-08-14T00:00:00"/>
    <n v="899.97"/>
    <d v="2026-05-30T16:12:08"/>
    <n v="57"/>
    <n v="18"/>
    <d v="2024-10-31T00:00:00"/>
  </r>
  <r>
    <s v="TRX0125"/>
    <x v="182"/>
    <s v="CUST026"/>
    <s v="026"/>
    <s v="Karen Hill"/>
    <s v="P002"/>
    <x v="5"/>
    <x v="0"/>
    <n v="3"/>
    <n v="699.99"/>
    <x v="1"/>
    <x v="0"/>
    <x v="1"/>
    <d v="2023-06-28T00:00:00"/>
    <n v="2099.9699999999998"/>
    <d v="2026-05-30T16:12:08"/>
    <n v="35"/>
    <n v="22"/>
    <d v="2024-10-31T00:00:00"/>
  </r>
  <r>
    <s v="TRX0223"/>
    <x v="183"/>
    <s v="CUST036"/>
    <s v="036"/>
    <s v="Nancy Collins"/>
    <s v="P006"/>
    <x v="9"/>
    <x v="2"/>
    <n v="5"/>
    <n v="199.99"/>
    <x v="2"/>
    <x v="0"/>
    <x v="2"/>
    <d v="2022-03-13T00:00:00"/>
    <n v="999.95"/>
    <d v="2026-05-30T16:12:08"/>
    <n v="50"/>
    <n v="11"/>
    <d v="2024-10-31T00:00:00"/>
  </r>
  <r>
    <s v="TRX0243"/>
    <x v="184"/>
    <s v="CUST048"/>
    <s v="048"/>
    <s v="Virginia Sanders"/>
    <s v="P009"/>
    <x v="0"/>
    <x v="0"/>
    <n v="5"/>
    <n v="249.99"/>
    <x v="1"/>
    <x v="1"/>
    <x v="0"/>
    <d v="2024-02-08T00:00:00"/>
    <n v="1249.95"/>
    <d v="2026-05-30T16:12:08"/>
    <n v="27"/>
    <n v="22"/>
    <d v="2024-10-31T00:00:00"/>
  </r>
  <r>
    <s v="TRX0084"/>
    <x v="185"/>
    <s v="CUST031"/>
    <s v="031"/>
    <s v="Steven Turner"/>
    <s v="P003"/>
    <x v="3"/>
    <x v="0"/>
    <n v="4"/>
    <n v="149.99"/>
    <x v="3"/>
    <x v="4"/>
    <x v="2"/>
    <d v="2021-12-06T00:00:00"/>
    <n v="599.96"/>
    <d v="2026-05-30T16:12:08"/>
    <n v="53"/>
    <n v="15"/>
    <d v="2024-10-31T00:00:00"/>
  </r>
  <r>
    <s v="TRX0238"/>
    <x v="186"/>
    <s v="CUST038"/>
    <s v="038"/>
    <s v="Michelle Rogers"/>
    <s v="P002"/>
    <x v="5"/>
    <x v="0"/>
    <n v="3"/>
    <n v="699.99"/>
    <x v="0"/>
    <x v="2"/>
    <x v="1"/>
    <d v="2022-02-10T00:00:00"/>
    <n v="2099.9699999999998"/>
    <d v="2026-05-30T16:12:08"/>
    <n v="51"/>
    <n v="23"/>
    <d v="2024-10-31T00:00:00"/>
  </r>
  <r>
    <s v="TRX0102"/>
    <x v="187"/>
    <s v="CUST045"/>
    <s v="045"/>
    <s v="Douglas Watson"/>
    <s v="P004"/>
    <x v="7"/>
    <x v="1"/>
    <n v="1"/>
    <n v="79.989999999999995"/>
    <x v="1"/>
    <x v="1"/>
    <x v="0"/>
    <d v="2024-01-31T00:00:00"/>
    <n v="79.989999999999995"/>
    <d v="2026-05-30T16:12:08"/>
    <n v="27"/>
    <n v="11"/>
    <d v="2024-10-31T00:00:00"/>
  </r>
  <r>
    <s v="TRX0022"/>
    <x v="188"/>
    <s v="CUST025"/>
    <s v="025"/>
    <s v="Mark Carter"/>
    <s v="P007"/>
    <x v="6"/>
    <x v="2"/>
    <n v="1"/>
    <n v="299.99"/>
    <x v="1"/>
    <x v="2"/>
    <x v="0"/>
    <d v="2021-08-28T00:00:00"/>
    <n v="299.99"/>
    <d v="2026-05-30T16:12:08"/>
    <n v="57"/>
    <n v="19"/>
    <d v="2024-10-31T00:00:00"/>
  </r>
  <r>
    <s v="TRX0087"/>
    <x v="189"/>
    <s v="CUST028"/>
    <s v="028"/>
    <s v="Betty Campbell"/>
    <s v="P009"/>
    <x v="0"/>
    <x v="0"/>
    <n v="4"/>
    <n v="249.99"/>
    <x v="1"/>
    <x v="2"/>
    <x v="1"/>
    <d v="2021-09-21T00:00:00"/>
    <n v="999.96"/>
    <d v="2026-05-30T16:12:08"/>
    <n v="56"/>
    <n v="23"/>
    <d v="2024-10-31T00:00:00"/>
  </r>
  <r>
    <s v="TRX0107"/>
    <x v="190"/>
    <s v="CUST030"/>
    <s v="030"/>
    <s v="Helen Roberts"/>
    <s v="P003"/>
    <x v="3"/>
    <x v="0"/>
    <n v="2"/>
    <n v="149.99"/>
    <x v="0"/>
    <x v="2"/>
    <x v="2"/>
    <d v="2022-12-18T00:00:00"/>
    <n v="299.98"/>
    <d v="2026-05-30T16:12:08"/>
    <n v="41"/>
    <n v="16"/>
    <d v="2024-10-31T00:00:00"/>
  </r>
  <r>
    <s v="TRX0051"/>
    <x v="191"/>
    <s v="CUST032"/>
    <s v="032"/>
    <s v="Sandra Phillips"/>
    <s v="P007"/>
    <x v="6"/>
    <x v="2"/>
    <n v="3"/>
    <n v="299.99"/>
    <x v="1"/>
    <x v="1"/>
    <x v="0"/>
    <d v="2023-10-05T00:00:00"/>
    <n v="899.97"/>
    <d v="2026-05-30T16:12:08"/>
    <n v="31"/>
    <n v="20"/>
    <d v="2024-10-31T00:00:00"/>
  </r>
  <r>
    <s v="TRX0106"/>
    <x v="192"/>
    <s v="CUST039"/>
    <s v="039"/>
    <s v="Lawrence Reed"/>
    <s v="P006"/>
    <x v="9"/>
    <x v="2"/>
    <n v="4"/>
    <n v="199.99"/>
    <x v="3"/>
    <x v="1"/>
    <x v="2"/>
    <d v="2021-12-14T00:00:00"/>
    <n v="799.96"/>
    <d v="2026-05-30T16:12:08"/>
    <n v="53"/>
    <n v="12"/>
    <d v="2024-10-31T00:00:00"/>
  </r>
  <r>
    <s v="TRX0059"/>
    <x v="193"/>
    <s v="CUST016"/>
    <s v="016"/>
    <s v="Elizabeth Hall"/>
    <s v="P007"/>
    <x v="6"/>
    <x v="2"/>
    <n v="5"/>
    <n v="299.99"/>
    <x v="3"/>
    <x v="0"/>
    <x v="0"/>
    <d v="2021-08-23T00:00:00"/>
    <n v="1499.95"/>
    <d v="2026-05-30T16:12:08"/>
    <n v="57"/>
    <n v="21"/>
    <d v="2024-10-31T00:00:00"/>
  </r>
  <r>
    <s v="TRX0072"/>
    <x v="194"/>
    <s v="CUST009"/>
    <s v="009"/>
    <s v="Robert Thomas"/>
    <s v="P008"/>
    <x v="2"/>
    <x v="2"/>
    <n v="3"/>
    <n v="149.99"/>
    <x v="1"/>
    <x v="4"/>
    <x v="2"/>
    <d v="2021-07-18T00:00:00"/>
    <n v="449.97"/>
    <d v="2026-05-30T16:12:08"/>
    <n v="58"/>
    <n v="25"/>
    <d v="2024-10-31T00:00:00"/>
  </r>
  <r>
    <s v="TRX0110"/>
    <x v="195"/>
    <s v="CUST006"/>
    <s v="006"/>
    <s v="Lisa Anderson"/>
    <s v="P005"/>
    <x v="1"/>
    <x v="1"/>
    <n v="5"/>
    <n v="59.99"/>
    <x v="3"/>
    <x v="4"/>
    <x v="0"/>
    <d v="2022-03-22T00:00:00"/>
    <n v="299.95"/>
    <d v="2026-05-30T16:12:08"/>
    <n v="50"/>
    <n v="23"/>
    <d v="2024-10-31T00:00:00"/>
  </r>
  <r>
    <s v="TRX0126"/>
    <x v="196"/>
    <s v="CUST022"/>
    <s v="022"/>
    <s v="Susan Green"/>
    <s v="P005"/>
    <x v="1"/>
    <x v="1"/>
    <n v="4"/>
    <n v="59.99"/>
    <x v="3"/>
    <x v="4"/>
    <x v="2"/>
    <d v="2022-01-03T00:00:00"/>
    <n v="239.96"/>
    <d v="2026-05-30T16:12:08"/>
    <n v="52"/>
    <n v="24"/>
    <d v="2024-10-31T00:00:00"/>
  </r>
  <r>
    <s v="TRX0159"/>
    <x v="197"/>
    <s v="CUST024"/>
    <s v="024"/>
    <s v="Dorothy Nelson"/>
    <s v="P009"/>
    <x v="0"/>
    <x v="0"/>
    <n v="4"/>
    <n v="249.99"/>
    <x v="3"/>
    <x v="0"/>
    <x v="1"/>
    <d v="2023-10-18T00:00:00"/>
    <n v="999.96"/>
    <d v="2026-05-30T16:12:08"/>
    <n v="31"/>
    <n v="24"/>
    <d v="2024-10-31T00:00:00"/>
  </r>
  <r>
    <s v="TRX0030"/>
    <x v="198"/>
    <s v="CUST011"/>
    <s v="011"/>
    <s v="William White"/>
    <s v="P001"/>
    <x v="4"/>
    <x v="0"/>
    <n v="4"/>
    <n v="899.99"/>
    <x v="2"/>
    <x v="0"/>
    <x v="0"/>
    <d v="2022-06-22T00:00:00"/>
    <n v="3599.96"/>
    <d v="2026-05-30T16:12:08"/>
    <n v="47"/>
    <n v="19"/>
    <d v="2024-10-31T00:00:00"/>
  </r>
  <r>
    <s v="TRX0178"/>
    <x v="199"/>
    <s v="CUST025"/>
    <s v="025"/>
    <s v="Mark Carter"/>
    <s v="P007"/>
    <x v="6"/>
    <x v="2"/>
    <n v="3"/>
    <n v="299.99"/>
    <x v="3"/>
    <x v="3"/>
    <x v="2"/>
    <d v="2023-01-26T00:00:00"/>
    <n v="899.97"/>
    <d v="2026-05-30T16:12:08"/>
    <n v="40"/>
    <n v="22"/>
    <d v="2024-10-31T00:00:00"/>
  </r>
  <r>
    <s v="TRX0188"/>
    <x v="200"/>
    <s v="CUST045"/>
    <s v="045"/>
    <s v="Douglas Watson"/>
    <s v="P002"/>
    <x v="5"/>
    <x v="0"/>
    <n v="2"/>
    <n v="699.99"/>
    <x v="3"/>
    <x v="0"/>
    <x v="1"/>
    <d v="2022-04-30T00:00:00"/>
    <n v="1399.98"/>
    <d v="2026-05-30T16:12:08"/>
    <n v="49"/>
    <n v="24"/>
    <d v="2024-10-31T00:00:00"/>
  </r>
  <r>
    <s v="TRX0010"/>
    <x v="201"/>
    <s v="CUST026"/>
    <s v="026"/>
    <s v="Karen Hill"/>
    <s v="P002"/>
    <x v="5"/>
    <x v="0"/>
    <n v="4"/>
    <n v="699.99"/>
    <x v="3"/>
    <x v="3"/>
    <x v="1"/>
    <d v="2022-05-11T00:00:00"/>
    <n v="2799.96"/>
    <d v="2026-05-30T16:12:08"/>
    <n v="48"/>
    <n v="25"/>
    <d v="2024-10-31T00:00:00"/>
  </r>
  <r>
    <s v="TRX0069"/>
    <x v="202"/>
    <s v="CUST029"/>
    <s v="029"/>
    <s v="Edward Mitchell"/>
    <s v="P010"/>
    <x v="8"/>
    <x v="0"/>
    <n v="2"/>
    <n v="89.99"/>
    <x v="3"/>
    <x v="1"/>
    <x v="0"/>
    <d v="2022-08-04T00:00:00"/>
    <n v="179.98"/>
    <d v="2026-05-30T16:12:08"/>
    <n v="45"/>
    <n v="25"/>
    <d v="2024-10-31T00:00:00"/>
  </r>
  <r>
    <s v="TRX0166"/>
    <x v="203"/>
    <s v="CUST003"/>
    <s v="003"/>
    <s v="Michael Brown"/>
    <s v="P010"/>
    <x v="8"/>
    <x v="0"/>
    <n v="3"/>
    <n v="89.99"/>
    <x v="3"/>
    <x v="1"/>
    <x v="1"/>
    <d v="2024-01-16T00:00:00"/>
    <n v="269.97000000000003"/>
    <d v="2026-05-30T16:12:08"/>
    <n v="28"/>
    <n v="26"/>
    <d v="2024-10-31T00:00:00"/>
  </r>
  <r>
    <s v="TRX0219"/>
    <x v="204"/>
    <s v="CUST037"/>
    <s v="037"/>
    <s v="Arthur Edwards"/>
    <s v="P005"/>
    <x v="1"/>
    <x v="1"/>
    <n v="1"/>
    <n v="59.99"/>
    <x v="3"/>
    <x v="0"/>
    <x v="2"/>
    <d v="2023-04-29T00:00:00"/>
    <n v="59.99"/>
    <d v="2026-05-30T16:12:08"/>
    <n v="37"/>
    <n v="25"/>
    <d v="2024-11-30T00:00:00"/>
  </r>
  <r>
    <s v="TRX0024"/>
    <x v="205"/>
    <s v="CUST042"/>
    <s v="042"/>
    <s v="Ruth Brooks"/>
    <s v="P008"/>
    <x v="2"/>
    <x v="2"/>
    <n v="3"/>
    <n v="149.99"/>
    <x v="3"/>
    <x v="2"/>
    <x v="1"/>
    <d v="2022-01-03T00:00:00"/>
    <n v="449.97"/>
    <d v="2026-05-30T16:12:08"/>
    <n v="52"/>
    <n v="26"/>
    <d v="2024-11-30T00:00:00"/>
  </r>
  <r>
    <s v="TRX0105"/>
    <x v="206"/>
    <s v="CUST048"/>
    <s v="048"/>
    <s v="Virginia Sanders"/>
    <s v="P007"/>
    <x v="6"/>
    <x v="2"/>
    <n v="5"/>
    <n v="299.99"/>
    <x v="1"/>
    <x v="1"/>
    <x v="0"/>
    <d v="2023-02-02T00:00:00"/>
    <n v="1499.95"/>
    <d v="2026-05-30T16:12:08"/>
    <n v="39"/>
    <n v="23"/>
    <d v="2024-11-30T00:00:00"/>
  </r>
  <r>
    <s v="TRX0011"/>
    <x v="0"/>
    <s v="CUST040"/>
    <s v="040"/>
    <s v="Sharon Butler"/>
    <s v="P005"/>
    <x v="1"/>
    <x v="1"/>
    <n v="5"/>
    <n v="59.99"/>
    <x v="3"/>
    <x v="0"/>
    <x v="2"/>
    <d v="2023-09-08T00:00:00"/>
    <n v="299.95"/>
    <d v="2026-05-30T16:12:08"/>
    <n v="32"/>
    <n v="26"/>
    <d v="2024-11-30T00:00:00"/>
  </r>
  <r>
    <s v="TRX0187"/>
    <x v="207"/>
    <s v="CUST036"/>
    <s v="036"/>
    <s v="Nancy Collins"/>
    <s v="P004"/>
    <x v="7"/>
    <x v="1"/>
    <n v="3"/>
    <n v="79.989999999999995"/>
    <x v="0"/>
    <x v="4"/>
    <x v="1"/>
    <d v="2021-08-28T00:00:00"/>
    <n v="239.97"/>
    <d v="2026-05-30T16:12:08"/>
    <n v="57"/>
    <n v="12"/>
    <d v="2024-11-30T00:00:00"/>
  </r>
  <r>
    <s v="TRX0089"/>
    <x v="208"/>
    <s v="CUST021"/>
    <s v="021"/>
    <s v="Kevin Scott"/>
    <s v="P006"/>
    <x v="9"/>
    <x v="2"/>
    <n v="3"/>
    <n v="199.99"/>
    <x v="0"/>
    <x v="0"/>
    <x v="0"/>
    <d v="2022-06-23T00:00:00"/>
    <n v="599.97"/>
    <d v="2026-05-30T16:12:08"/>
    <n v="47"/>
    <n v="13"/>
    <d v="2024-11-30T00:00:00"/>
  </r>
  <r>
    <s v="TRX0196"/>
    <x v="209"/>
    <s v="CUST023"/>
    <s v="023"/>
    <s v="Paul Baker"/>
    <s v="P010"/>
    <x v="8"/>
    <x v="0"/>
    <n v="2"/>
    <n v="89.99"/>
    <x v="2"/>
    <x v="0"/>
    <x v="0"/>
    <d v="2023-11-27T00:00:00"/>
    <n v="179.98"/>
    <d v="2026-05-30T16:12:08"/>
    <n v="30"/>
    <n v="27"/>
    <d v="2024-11-30T00:00:00"/>
  </r>
  <r>
    <s v="TRX0118"/>
    <x v="210"/>
    <s v="CUST015"/>
    <s v="015"/>
    <s v="Richard Lee"/>
    <s v="P008"/>
    <x v="2"/>
    <x v="2"/>
    <n v="2"/>
    <n v="149.99"/>
    <x v="0"/>
    <x v="1"/>
    <x v="1"/>
    <d v="2022-06-16T00:00:00"/>
    <n v="299.98"/>
    <d v="2026-05-30T16:12:08"/>
    <n v="47"/>
    <n v="27"/>
    <d v="2024-11-30T00:00:00"/>
  </r>
  <r>
    <s v="TRX0179"/>
    <x v="211"/>
    <s v="CUST029"/>
    <s v="029"/>
    <s v="Edward Mitchell"/>
    <s v="P002"/>
    <x v="5"/>
    <x v="0"/>
    <n v="5"/>
    <n v="699.99"/>
    <x v="2"/>
    <x v="1"/>
    <x v="1"/>
    <d v="2024-03-01T00:00:00"/>
    <n v="3499.95"/>
    <d v="2026-05-30T16:12:08"/>
    <n v="26"/>
    <n v="26"/>
    <d v="2024-11-30T00:00:00"/>
  </r>
  <r>
    <s v="TRX0168"/>
    <x v="212"/>
    <s v="CUST003"/>
    <s v="003"/>
    <s v="Michael Brown"/>
    <s v="P008"/>
    <x v="2"/>
    <x v="2"/>
    <n v="3"/>
    <n v="149.99"/>
    <x v="2"/>
    <x v="0"/>
    <x v="2"/>
    <d v="2022-03-13T00:00:00"/>
    <n v="449.97"/>
    <d v="2026-05-30T16:12:08"/>
    <n v="50"/>
    <n v="28"/>
    <d v="2024-11-30T00:00:00"/>
  </r>
  <r>
    <s v="TRX0214"/>
    <x v="213"/>
    <s v="CUST018"/>
    <s v="018"/>
    <s v="Barbara Young"/>
    <s v="P001"/>
    <x v="4"/>
    <x v="0"/>
    <n v="3"/>
    <n v="899.99"/>
    <x v="0"/>
    <x v="4"/>
    <x v="2"/>
    <d v="2022-02-21T00:00:00"/>
    <n v="2699.97"/>
    <d v="2026-05-30T16:12:08"/>
    <n v="51"/>
    <n v="20"/>
    <d v="2024-11-30T00:00:00"/>
  </r>
  <r>
    <s v="TRX0221"/>
    <x v="214"/>
    <s v="CUST033"/>
    <s v="033"/>
    <s v="Frank Torres"/>
    <s v="P006"/>
    <x v="9"/>
    <x v="2"/>
    <n v="3"/>
    <n v="199.99"/>
    <x v="0"/>
    <x v="3"/>
    <x v="1"/>
    <d v="2022-09-19T00:00:00"/>
    <n v="599.97"/>
    <d v="2026-05-30T16:12:08"/>
    <n v="44"/>
    <n v="14"/>
    <d v="2024-11-30T00:00:00"/>
  </r>
  <r>
    <s v="TRX0083"/>
    <x v="215"/>
    <s v="CUST017"/>
    <s v="017"/>
    <s v="Charles Allen"/>
    <s v="P007"/>
    <x v="6"/>
    <x v="2"/>
    <n v="5"/>
    <n v="299.99"/>
    <x v="0"/>
    <x v="3"/>
    <x v="2"/>
    <d v="2023-08-04T00:00:00"/>
    <n v="1499.95"/>
    <d v="2026-05-30T16:12:08"/>
    <n v="33"/>
    <n v="24"/>
    <d v="2024-11-30T00:00:00"/>
  </r>
  <r>
    <s v="TRX0151"/>
    <x v="216"/>
    <s v="CUST040"/>
    <s v="040"/>
    <s v="Sharon Butler"/>
    <s v="P002"/>
    <x v="5"/>
    <x v="0"/>
    <n v="1"/>
    <n v="699.99"/>
    <x v="2"/>
    <x v="3"/>
    <x v="0"/>
    <d v="2023-01-08T00:00:00"/>
    <n v="699.99"/>
    <d v="2026-05-30T16:12:08"/>
    <n v="40"/>
    <n v="27"/>
    <d v="2024-11-30T00:00:00"/>
  </r>
  <r>
    <s v="TRX0047"/>
    <x v="217"/>
    <s v="CUST042"/>
    <s v="042"/>
    <s v="Ruth Brooks"/>
    <s v="P002"/>
    <x v="5"/>
    <x v="0"/>
    <n v="1"/>
    <n v="699.99"/>
    <x v="0"/>
    <x v="2"/>
    <x v="1"/>
    <d v="2022-01-22T00:00:00"/>
    <n v="699.99"/>
    <d v="2026-05-30T16:12:08"/>
    <n v="52"/>
    <n v="28"/>
    <d v="2024-11-30T00:00:00"/>
  </r>
  <r>
    <s v="TRX0200"/>
    <x v="218"/>
    <s v="CUST037"/>
    <s v="037"/>
    <s v="Arthur Edwards"/>
    <s v="P008"/>
    <x v="2"/>
    <x v="2"/>
    <n v="4"/>
    <n v="149.99"/>
    <x v="2"/>
    <x v="2"/>
    <x v="1"/>
    <d v="2021-08-04T00:00:00"/>
    <n v="599.96"/>
    <d v="2026-05-30T16:12:08"/>
    <n v="57"/>
    <n v="29"/>
    <d v="2024-11-30T00:00:00"/>
  </r>
  <r>
    <s v="TRX0062"/>
    <x v="219"/>
    <s v="CUST016"/>
    <s v="016"/>
    <s v="Elizabeth Hall"/>
    <s v="P010"/>
    <x v="8"/>
    <x v="0"/>
    <n v="5"/>
    <n v="89.99"/>
    <x v="2"/>
    <x v="3"/>
    <x v="1"/>
    <d v="2023-08-02T00:00:00"/>
    <n v="449.95"/>
    <d v="2026-05-30T16:12:08"/>
    <n v="33"/>
    <n v="28"/>
    <d v="2024-11-30T00:00:00"/>
  </r>
  <r>
    <s v="TRX0182"/>
    <x v="220"/>
    <s v="CUST031"/>
    <s v="031"/>
    <s v="Steven Turner"/>
    <s v="P006"/>
    <x v="9"/>
    <x v="2"/>
    <n v="2"/>
    <n v="199.99"/>
    <x v="0"/>
    <x v="0"/>
    <x v="1"/>
    <d v="2022-01-12T00:00:00"/>
    <n v="399.98"/>
    <d v="2026-05-30T16:12:08"/>
    <n v="52"/>
    <n v="15"/>
    <d v="2024-11-30T00:00:00"/>
  </r>
  <r>
    <s v="TRX0229"/>
    <x v="221"/>
    <s v="CUST015"/>
    <s v="015"/>
    <s v="Richard Lee"/>
    <s v="P005"/>
    <x v="1"/>
    <x v="1"/>
    <n v="4"/>
    <n v="59.99"/>
    <x v="0"/>
    <x v="3"/>
    <x v="2"/>
    <d v="2023-05-24T00:00:00"/>
    <n v="239.96"/>
    <d v="2026-05-30T16:12:08"/>
    <n v="36"/>
    <n v="27"/>
    <d v="2024-11-30T00:00:00"/>
  </r>
  <r>
    <s v="TRX0048"/>
    <x v="222"/>
    <s v="CUST048"/>
    <s v="048"/>
    <s v="Virginia Sanders"/>
    <s v="P007"/>
    <x v="6"/>
    <x v="2"/>
    <n v="2"/>
    <n v="299.99"/>
    <x v="2"/>
    <x v="1"/>
    <x v="0"/>
    <d v="2022-01-15T00:00:00"/>
    <n v="599.98"/>
    <d v="2026-05-30T16:12:08"/>
    <n v="52"/>
    <n v="25"/>
    <d v="2024-11-30T00:00:00"/>
  </r>
  <r>
    <s v="TRX0227"/>
    <x v="223"/>
    <s v="CUST017"/>
    <s v="017"/>
    <s v="Charles Allen"/>
    <s v="P008"/>
    <x v="2"/>
    <x v="2"/>
    <n v="2"/>
    <n v="149.99"/>
    <x v="0"/>
    <x v="0"/>
    <x v="0"/>
    <d v="2023-05-22T00:00:00"/>
    <n v="299.98"/>
    <d v="2026-05-30T16:12:08"/>
    <n v="36"/>
    <n v="30"/>
    <d v="2024-11-30T00:00:00"/>
  </r>
  <r>
    <s v="TRX0226"/>
    <x v="224"/>
    <s v="CUST039"/>
    <s v="039"/>
    <s v="Lawrence Reed"/>
    <s v="P002"/>
    <x v="5"/>
    <x v="0"/>
    <n v="5"/>
    <n v="699.99"/>
    <x v="3"/>
    <x v="4"/>
    <x v="1"/>
    <d v="2023-08-23T00:00:00"/>
    <n v="3499.95"/>
    <d v="2026-05-30T16:12:08"/>
    <n v="33"/>
    <n v="29"/>
    <d v="2024-11-30T00:00:00"/>
  </r>
  <r>
    <s v="TRX0053"/>
    <x v="225"/>
    <s v="CUST043"/>
    <s v="043"/>
    <s v="Dennis Gray"/>
    <s v="P005"/>
    <x v="1"/>
    <x v="1"/>
    <n v="5"/>
    <n v="59.99"/>
    <x v="0"/>
    <x v="3"/>
    <x v="1"/>
    <d v="2023-12-31T00:00:00"/>
    <n v="299.95"/>
    <d v="2026-05-30T16:12:08"/>
    <n v="28"/>
    <n v="28"/>
    <d v="2024-11-30T00:00:00"/>
  </r>
  <r>
    <s v="TRX0233"/>
    <x v="226"/>
    <s v="CUST023"/>
    <s v="023"/>
    <s v="Paul Baker"/>
    <s v="P010"/>
    <x v="8"/>
    <x v="0"/>
    <n v="2"/>
    <n v="89.99"/>
    <x v="1"/>
    <x v="3"/>
    <x v="1"/>
    <d v="2024-01-04T00:00:00"/>
    <n v="179.98"/>
    <d v="2026-05-30T16:12:08"/>
    <n v="28"/>
    <n v="29"/>
    <d v="2024-11-30T00:00:00"/>
  </r>
  <r>
    <s v="TRX0175"/>
    <x v="227"/>
    <s v="CUST030"/>
    <s v="030"/>
    <s v="Helen Roberts"/>
    <s v="P009"/>
    <x v="0"/>
    <x v="0"/>
    <n v="5"/>
    <n v="249.99"/>
    <x v="0"/>
    <x v="4"/>
    <x v="2"/>
    <d v="2021-12-10T00:00:00"/>
    <n v="1249.95"/>
    <d v="2026-05-30T16:12:08"/>
    <n v="53"/>
    <n v="25"/>
    <d v="2024-11-30T00:00:00"/>
  </r>
  <r>
    <s v="TRX0186"/>
    <x v="228"/>
    <s v="CUST039"/>
    <s v="039"/>
    <s v="Lawrence Reed"/>
    <s v="P008"/>
    <x v="2"/>
    <x v="2"/>
    <n v="2"/>
    <n v="149.99"/>
    <x v="2"/>
    <x v="0"/>
    <x v="1"/>
    <d v="2022-03-12T00:00:00"/>
    <n v="299.98"/>
    <d v="2026-05-30T16:12:08"/>
    <n v="50"/>
    <n v="31"/>
    <d v="2024-11-30T00:00:00"/>
  </r>
  <r>
    <s v="TRX0016"/>
    <x v="229"/>
    <s v="CUST035"/>
    <s v="035"/>
    <s v="Harry Morgan"/>
    <s v="P001"/>
    <x v="4"/>
    <x v="0"/>
    <n v="5"/>
    <n v="899.99"/>
    <x v="2"/>
    <x v="4"/>
    <x v="1"/>
    <d v="2024-04-07T00:00:00"/>
    <n v="4499.95"/>
    <d v="2026-05-30T16:12:08"/>
    <n v="25"/>
    <n v="21"/>
    <d v="2024-11-30T00:00:00"/>
  </r>
  <r>
    <s v="TRX0199"/>
    <x v="230"/>
    <s v="CUST017"/>
    <s v="017"/>
    <s v="Charles Allen"/>
    <s v="P008"/>
    <x v="2"/>
    <x v="2"/>
    <n v="4"/>
    <n v="149.99"/>
    <x v="0"/>
    <x v="0"/>
    <x v="2"/>
    <d v="2023-12-03T00:00:00"/>
    <n v="599.96"/>
    <d v="2026-05-30T16:12:08"/>
    <n v="29"/>
    <n v="32"/>
    <d v="2024-11-30T00:00:00"/>
  </r>
  <r>
    <s v="TRX0038"/>
    <x v="231"/>
    <s v="CUST035"/>
    <s v="035"/>
    <s v="Harry Morgan"/>
    <s v="P009"/>
    <x v="0"/>
    <x v="0"/>
    <n v="1"/>
    <n v="249.99"/>
    <x v="0"/>
    <x v="2"/>
    <x v="2"/>
    <d v="2023-07-10T00:00:00"/>
    <n v="249.99"/>
    <d v="2026-05-30T16:12:08"/>
    <n v="34"/>
    <n v="26"/>
    <d v="2024-11-30T00:00:00"/>
  </r>
  <r>
    <s v="TRX0014"/>
    <x v="232"/>
    <s v="CUST033"/>
    <s v="033"/>
    <s v="Frank Torres"/>
    <s v="P005"/>
    <x v="1"/>
    <x v="1"/>
    <n v="2"/>
    <n v="59.99"/>
    <x v="1"/>
    <x v="3"/>
    <x v="0"/>
    <d v="2023-09-24T00:00:00"/>
    <n v="119.98"/>
    <d v="2026-05-30T16:12:08"/>
    <n v="32"/>
    <n v="29"/>
    <d v="2024-11-30T00:00:00"/>
  </r>
  <r>
    <s v="TRX0003"/>
    <x v="233"/>
    <s v="CUST002"/>
    <s v="002"/>
    <s v="Emma Wilson"/>
    <s v="P008"/>
    <x v="2"/>
    <x v="2"/>
    <n v="2"/>
    <n v="149.99"/>
    <x v="0"/>
    <x v="3"/>
    <x v="1"/>
    <d v="2023-11-03T00:00:00"/>
    <n v="299.98"/>
    <d v="2026-05-30T16:12:08"/>
    <n v="30"/>
    <n v="33"/>
    <d v="2024-12-31T00:00:00"/>
  </r>
  <r>
    <s v="TRX0124"/>
    <x v="234"/>
    <s v="CUST040"/>
    <s v="040"/>
    <s v="Sharon Butler"/>
    <s v="P001"/>
    <x v="4"/>
    <x v="0"/>
    <n v="3"/>
    <n v="899.99"/>
    <x v="3"/>
    <x v="2"/>
    <x v="1"/>
    <d v="2022-11-11T00:00:00"/>
    <n v="2699.97"/>
    <d v="2026-05-30T16:12:08"/>
    <n v="42"/>
    <n v="22"/>
    <d v="2024-12-31T00:00:00"/>
  </r>
  <r>
    <s v="TRX0013"/>
    <x v="235"/>
    <s v="CUST024"/>
    <s v="024"/>
    <s v="Dorothy Nelson"/>
    <s v="P001"/>
    <x v="4"/>
    <x v="0"/>
    <n v="3"/>
    <n v="899.99"/>
    <x v="2"/>
    <x v="2"/>
    <x v="0"/>
    <d v="2023-02-18T00:00:00"/>
    <n v="2699.97"/>
    <d v="2026-05-30T16:12:08"/>
    <n v="39"/>
    <n v="23"/>
    <d v="2024-12-31T00:00:00"/>
  </r>
  <r>
    <s v="TRX0019"/>
    <x v="236"/>
    <s v="CUST023"/>
    <s v="023"/>
    <s v="Paul Baker"/>
    <s v="P007"/>
    <x v="6"/>
    <x v="2"/>
    <n v="3"/>
    <n v="299.99"/>
    <x v="1"/>
    <x v="3"/>
    <x v="1"/>
    <d v="2023-11-04T00:00:00"/>
    <n v="899.97"/>
    <d v="2026-05-30T16:12:08"/>
    <n v="30"/>
    <n v="26"/>
    <d v="2024-12-31T00:00:00"/>
  </r>
  <r>
    <s v="TRX0050"/>
    <x v="237"/>
    <s v="CUST001"/>
    <s v="001"/>
    <s v="John Smith"/>
    <s v="P008"/>
    <x v="2"/>
    <x v="2"/>
    <n v="4"/>
    <n v="149.99"/>
    <x v="2"/>
    <x v="3"/>
    <x v="2"/>
    <d v="2021-12-30T00:00:00"/>
    <n v="599.96"/>
    <d v="2026-05-30T16:12:08"/>
    <n v="53"/>
    <n v="34"/>
    <d v="2024-12-31T00:00:00"/>
  </r>
  <r>
    <s v="TRX0152"/>
    <x v="238"/>
    <s v="CUST044"/>
    <s v="044"/>
    <s v="Cynthia Price"/>
    <s v="P004"/>
    <x v="7"/>
    <x v="1"/>
    <n v="4"/>
    <n v="79.989999999999995"/>
    <x v="1"/>
    <x v="0"/>
    <x v="0"/>
    <d v="2023-12-28T00:00:00"/>
    <n v="319.95999999999998"/>
    <d v="2026-05-30T16:12:08"/>
    <n v="29"/>
    <n v="13"/>
    <d v="2024-12-31T00:00:00"/>
  </r>
  <r>
    <s v="TRX0213"/>
    <x v="239"/>
    <s v="CUST020"/>
    <s v="020"/>
    <s v="Margaret Wright"/>
    <s v="P010"/>
    <x v="8"/>
    <x v="0"/>
    <n v="5"/>
    <n v="89.99"/>
    <x v="2"/>
    <x v="1"/>
    <x v="0"/>
    <d v="2022-05-23T00:00:00"/>
    <n v="449.95"/>
    <d v="2026-05-30T16:12:08"/>
    <n v="48"/>
    <n v="30"/>
    <d v="2024-12-31T00:00:00"/>
  </r>
  <r>
    <s v="TRX0197"/>
    <x v="240"/>
    <s v="CUST048"/>
    <s v="048"/>
    <s v="Virginia Sanders"/>
    <s v="P008"/>
    <x v="2"/>
    <x v="2"/>
    <n v="3"/>
    <n v="149.99"/>
    <x v="2"/>
    <x v="0"/>
    <x v="2"/>
    <d v="2023-09-02T00:00:00"/>
    <n v="449.97"/>
    <d v="2026-05-30T16:12:08"/>
    <n v="32"/>
    <n v="35"/>
    <d v="2024-12-31T00:00:00"/>
  </r>
  <r>
    <s v="TRX0250"/>
    <x v="241"/>
    <s v="CUST026"/>
    <s v="026"/>
    <s v="Karen Hill"/>
    <s v="P010"/>
    <x v="8"/>
    <x v="0"/>
    <n v="2"/>
    <n v="89.99"/>
    <x v="3"/>
    <x v="3"/>
    <x v="1"/>
    <d v="2021-11-22T00:00:00"/>
    <n v="179.98"/>
    <d v="2026-05-30T16:12:08"/>
    <n v="54"/>
    <n v="31"/>
    <d v="2024-12-31T00:00:00"/>
  </r>
  <r>
    <s v="TRX0068"/>
    <x v="242"/>
    <s v="CUST044"/>
    <s v="044"/>
    <s v="Cynthia Price"/>
    <s v="P002"/>
    <x v="5"/>
    <x v="0"/>
    <n v="2"/>
    <n v="699.99"/>
    <x v="2"/>
    <x v="2"/>
    <x v="2"/>
    <d v="2022-02-26T00:00:00"/>
    <n v="1399.98"/>
    <d v="2026-05-30T16:12:08"/>
    <n v="51"/>
    <n v="30"/>
    <d v="2024-12-31T00:00:00"/>
  </r>
  <r>
    <s v="TRX0144"/>
    <x v="243"/>
    <s v="CUST029"/>
    <s v="029"/>
    <s v="Edward Mitchell"/>
    <s v="P001"/>
    <x v="4"/>
    <x v="0"/>
    <n v="3"/>
    <n v="899.99"/>
    <x v="0"/>
    <x v="0"/>
    <x v="2"/>
    <d v="2023-01-27T00:00:00"/>
    <n v="2699.97"/>
    <d v="2026-05-30T16:12:08"/>
    <n v="40"/>
    <n v="24"/>
    <d v="2024-12-31T00:00:00"/>
  </r>
  <r>
    <s v="TRX0039"/>
    <x v="244"/>
    <s v="CUST048"/>
    <s v="048"/>
    <s v="Virginia Sanders"/>
    <s v="P004"/>
    <x v="7"/>
    <x v="1"/>
    <n v="3"/>
    <n v="79.989999999999995"/>
    <x v="1"/>
    <x v="2"/>
    <x v="0"/>
    <d v="2021-11-11T00:00:00"/>
    <n v="239.97"/>
    <d v="2026-05-30T16:12:08"/>
    <n v="54"/>
    <n v="14"/>
    <d v="2024-12-31T00:00:00"/>
  </r>
  <r>
    <s v="TRX0116"/>
    <x v="245"/>
    <s v="CUST009"/>
    <s v="009"/>
    <s v="Robert Thomas"/>
    <s v="P010"/>
    <x v="8"/>
    <x v="0"/>
    <n v="1"/>
    <n v="89.99"/>
    <x v="3"/>
    <x v="4"/>
    <x v="0"/>
    <d v="2024-02-24T00:00:00"/>
    <n v="89.99"/>
    <d v="2026-05-30T16:12:08"/>
    <n v="27"/>
    <n v="32"/>
    <d v="2024-12-31T00:00:00"/>
  </r>
  <r>
    <s v="TRX0120"/>
    <x v="246"/>
    <s v="CUST045"/>
    <s v="045"/>
    <s v="Douglas Watson"/>
    <s v="P002"/>
    <x v="5"/>
    <x v="0"/>
    <n v="3"/>
    <n v="699.99"/>
    <x v="2"/>
    <x v="2"/>
    <x v="0"/>
    <d v="2022-12-14T00:00:00"/>
    <n v="2099.9699999999998"/>
    <d v="2026-05-30T16:12:08"/>
    <n v="41"/>
    <n v="31"/>
    <d v="2024-12-31T00:00:00"/>
  </r>
  <r>
    <s v="TRX0103"/>
    <x v="247"/>
    <s v="CUST039"/>
    <s v="039"/>
    <s v="Lawrence Reed"/>
    <s v="P010"/>
    <x v="8"/>
    <x v="0"/>
    <n v="2"/>
    <n v="89.99"/>
    <x v="3"/>
    <x v="4"/>
    <x v="0"/>
    <d v="2023-06-11T00:00:00"/>
    <n v="179.98"/>
    <d v="2026-05-30T16:12:08"/>
    <n v="35"/>
    <n v="33"/>
    <d v="2024-12-31T00:00:00"/>
  </r>
  <r>
    <s v="TRX0064"/>
    <x v="248"/>
    <s v="CUST031"/>
    <s v="031"/>
    <s v="Steven Turner"/>
    <s v="P010"/>
    <x v="8"/>
    <x v="0"/>
    <n v="3"/>
    <n v="89.99"/>
    <x v="3"/>
    <x v="2"/>
    <x v="1"/>
    <d v="2022-11-13T00:00:00"/>
    <n v="269.97000000000003"/>
    <d v="2026-05-30T16:12:08"/>
    <n v="42"/>
    <n v="34"/>
    <d v="2024-12-31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FA30E0-11D6-47AC-A8A5-0F21CBCD840D}"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6" rowHeaderCaption="Region wise sales" colHeaderCaption="Customer Segment">
  <location ref="L124:M129" firstHeaderRow="1" firstDataRow="1" firstDataCol="1"/>
  <pivotFields count="21">
    <pivotField showAll="0"/>
    <pivotField numFmtId="14" showAll="0">
      <items count="25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0"/>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showAll="0"/>
    <pivotField showAll="0"/>
    <pivotField showAll="0"/>
    <pivotField showAll="0"/>
    <pivotField showAll="0">
      <items count="11">
        <item x="1"/>
        <item x="2"/>
        <item x="7"/>
        <item x="6"/>
        <item x="3"/>
        <item x="8"/>
        <item x="4"/>
        <item x="0"/>
        <item x="9"/>
        <item x="5"/>
        <item t="default"/>
      </items>
    </pivotField>
    <pivotField showAll="0">
      <items count="4">
        <item x="1"/>
        <item x="0"/>
        <item x="2"/>
        <item t="default"/>
      </items>
    </pivotField>
    <pivotField showAll="0"/>
    <pivotField showAll="0"/>
    <pivotField showAll="0"/>
    <pivotField axis="axisRow" showAll="0" sortType="descending">
      <items count="6">
        <item x="3"/>
        <item x="1"/>
        <item x="2"/>
        <item x="4"/>
        <item x="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64" showAll="0"/>
    <pivotField dataField="1" showAll="0"/>
    <pivotField numFmtId="22" showAll="0"/>
    <pivotField numFmtId="1" showAll="0"/>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5">
    <i>
      <x v="3"/>
    </i>
    <i>
      <x v="2"/>
    </i>
    <i>
      <x/>
    </i>
    <i>
      <x v="4"/>
    </i>
    <i>
      <x v="1"/>
    </i>
  </rowItems>
  <colItems count="1">
    <i/>
  </colItems>
  <dataFields count="1">
    <dataField name="Total Revenue" fld="14" baseField="11" baseItem="3"/>
  </dataFields>
  <formats count="12">
    <format dxfId="86">
      <pivotArea type="all" dataOnly="0" outline="0" fieldPosition="0"/>
    </format>
    <format dxfId="85">
      <pivotArea outline="0" collapsedLevelsAreSubtotals="1" fieldPosition="0"/>
    </format>
    <format dxfId="84">
      <pivotArea type="origin" dataOnly="0" labelOnly="1" outline="0" fieldPosition="0"/>
    </format>
    <format dxfId="83">
      <pivotArea field="12" type="button" dataOnly="0" labelOnly="1" outline="0"/>
    </format>
    <format dxfId="82">
      <pivotArea type="topRight" dataOnly="0" labelOnly="1" outline="0" fieldPosition="0"/>
    </format>
    <format dxfId="81">
      <pivotArea field="7" type="button" dataOnly="0" labelOnly="1" outline="0"/>
    </format>
    <format dxfId="80">
      <pivotArea field="7" type="button" dataOnly="0" labelOnly="1" outline="0"/>
    </format>
    <format dxfId="79">
      <pivotArea dataOnly="0" labelOnly="1" outline="0" axis="axisValues" fieldPosition="0"/>
    </format>
    <format dxfId="78">
      <pivotArea outline="0" collapsedLevelsAreSubtotals="1" fieldPosition="0"/>
    </format>
    <format dxfId="77">
      <pivotArea field="7" type="button" dataOnly="0" labelOnly="1" outline="0"/>
    </format>
    <format dxfId="76">
      <pivotArea dataOnly="0" labelOnly="1" outline="0" axis="axisValues" fieldPosition="0"/>
    </format>
    <format dxfId="75">
      <pivotArea outline="0" collapsedLevelsAreSubtotals="1" fieldPosition="0"/>
    </format>
  </formats>
  <chartFormats count="2">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2B9B58-DDED-4A24-9D81-09372C229040}" name="qty_sold"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2" rowHeaderCaption="Product Name" colHeaderCaption="Customer Segment">
  <location ref="C89:D99" firstHeaderRow="1" firstDataRow="1" firstDataCol="1"/>
  <pivotFields count="21">
    <pivotField showAll="0"/>
    <pivotField numFmtId="14" showAll="0">
      <items count="25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0"/>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showAll="0"/>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dataField="1" showAll="0"/>
    <pivotField showAll="0"/>
    <pivotField showAll="0"/>
    <pivotField showAll="0"/>
    <pivotField showAll="0">
      <items count="4">
        <item x="0"/>
        <item x="1"/>
        <item x="2"/>
        <item t="default"/>
      </items>
    </pivotField>
    <pivotField numFmtId="164" showAll="0"/>
    <pivotField showAll="0"/>
    <pivotField numFmtId="22" showAll="0"/>
    <pivotField numFmtId="1" showAll="0"/>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0">
    <i>
      <x/>
    </i>
    <i>
      <x v="1"/>
    </i>
    <i>
      <x v="2"/>
    </i>
    <i>
      <x v="3"/>
    </i>
    <i>
      <x v="4"/>
    </i>
    <i>
      <x v="5"/>
    </i>
    <i>
      <x v="6"/>
    </i>
    <i>
      <x v="7"/>
    </i>
    <i>
      <x v="8"/>
    </i>
    <i>
      <x v="9"/>
    </i>
  </rowItems>
  <colItems count="1">
    <i/>
  </colItems>
  <dataFields count="1">
    <dataField name="Qty Sold" fld="8" baseField="0" baseItem="0"/>
  </dataFields>
  <formats count="14">
    <format dxfId="100">
      <pivotArea type="all" dataOnly="0" outline="0" fieldPosition="0"/>
    </format>
    <format dxfId="99">
      <pivotArea outline="0" collapsedLevelsAreSubtotals="1" fieldPosition="0"/>
    </format>
    <format dxfId="98">
      <pivotArea type="origin" dataOnly="0" labelOnly="1" outline="0" fieldPosition="0"/>
    </format>
    <format dxfId="97">
      <pivotArea field="12" type="button" dataOnly="0" labelOnly="1" outline="0"/>
    </format>
    <format dxfId="96">
      <pivotArea type="topRight" dataOnly="0" labelOnly="1" outline="0" fieldPosition="0"/>
    </format>
    <format dxfId="95">
      <pivotArea field="7" type="button" dataOnly="0" labelOnly="1" outline="0"/>
    </format>
    <format dxfId="94">
      <pivotArea field="6" type="button" dataOnly="0" labelOnly="1" outline="0" axis="axisRow" fieldPosition="0"/>
    </format>
    <format dxfId="93">
      <pivotArea dataOnly="0" labelOnly="1" fieldPosition="0">
        <references count="1">
          <reference field="6" count="0"/>
        </references>
      </pivotArea>
    </format>
    <format dxfId="92">
      <pivotArea dataOnly="0" labelOnly="1" outline="0" axis="axisValues" fieldPosition="0"/>
    </format>
    <format dxfId="91">
      <pivotArea outline="0" collapsedLevelsAreSubtotals="1" fieldPosition="0"/>
    </format>
    <format dxfId="90">
      <pivotArea field="6" type="button" dataOnly="0" labelOnly="1" outline="0" axis="axisRow" fieldPosition="0"/>
    </format>
    <format dxfId="89">
      <pivotArea dataOnly="0" labelOnly="1" fieldPosition="0">
        <references count="1">
          <reference field="6" count="0"/>
        </references>
      </pivotArea>
    </format>
    <format dxfId="88">
      <pivotArea dataOnly="0" labelOnly="1" outline="0" axis="axisValues" fieldPosition="0"/>
    </format>
    <format dxfId="87">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A04C6A-7B14-4548-851C-F7CC29340A3F}" name="monthly_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rowHeaderCaption="Months" colHeaderCaption="Customer Segment">
  <location ref="C54:F64" firstHeaderRow="1" firstDataRow="2" firstDataCol="1"/>
  <pivotFields count="21">
    <pivotField showAll="0"/>
    <pivotField numFmtId="14" showAll="0">
      <items count="25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0"/>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showAll="0"/>
    <pivotField showAll="0"/>
    <pivotField showAll="0"/>
    <pivotField showAll="0"/>
    <pivotField showAll="0">
      <items count="11">
        <item x="1"/>
        <item x="2"/>
        <item x="7"/>
        <item x="6"/>
        <item x="3"/>
        <item x="8"/>
        <item x="4"/>
        <item x="0"/>
        <item x="9"/>
        <item x="5"/>
        <item t="default"/>
      </items>
    </pivotField>
    <pivotField axis="axisCol" showAll="0">
      <items count="4">
        <item x="1"/>
        <item x="0"/>
        <item x="2"/>
        <item t="default"/>
      </items>
    </pivotField>
    <pivotField showAll="0"/>
    <pivotField showAll="0"/>
    <pivotField showAll="0"/>
    <pivotField showAll="0">
      <items count="6">
        <item x="0"/>
        <item x="4"/>
        <item x="2"/>
        <item x="1"/>
        <item x="3"/>
        <item t="default"/>
      </items>
    </pivotField>
    <pivotField showAll="0">
      <items count="4">
        <item x="0"/>
        <item x="1"/>
        <item x="2"/>
        <item t="default"/>
      </items>
    </pivotField>
    <pivotField numFmtId="164" showAll="0"/>
    <pivotField dataField="1" showAll="0"/>
    <pivotField numFmtId="22" showAll="0"/>
    <pivotField numFmtId="1" showAll="0"/>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9">
    <i>
      <x v="4"/>
    </i>
    <i>
      <x v="5"/>
    </i>
    <i>
      <x v="6"/>
    </i>
    <i>
      <x v="7"/>
    </i>
    <i>
      <x v="8"/>
    </i>
    <i>
      <x v="9"/>
    </i>
    <i>
      <x v="10"/>
    </i>
    <i>
      <x v="11"/>
    </i>
    <i>
      <x v="12"/>
    </i>
  </rowItems>
  <colFields count="1">
    <field x="7"/>
  </colFields>
  <colItems count="3">
    <i>
      <x/>
    </i>
    <i>
      <x v="1"/>
    </i>
    <i>
      <x v="2"/>
    </i>
  </colItems>
  <dataFields count="1">
    <dataField name="Total Sales" fld="14" baseField="0" baseItem="0"/>
  </dataFields>
  <formats count="20">
    <format dxfId="120">
      <pivotArea type="all" dataOnly="0" outline="0" fieldPosition="0"/>
    </format>
    <format dxfId="119">
      <pivotArea outline="0" collapsedLevelsAreSubtotals="1" fieldPosition="0"/>
    </format>
    <format dxfId="118">
      <pivotArea type="origin" dataOnly="0" labelOnly="1" outline="0" fieldPosition="0"/>
    </format>
    <format dxfId="117">
      <pivotArea field="12" type="button" dataOnly="0" labelOnly="1" outline="0"/>
    </format>
    <format dxfId="116">
      <pivotArea type="topRight" dataOnly="0" labelOnly="1" outline="0" fieldPosition="0"/>
    </format>
    <format dxfId="115">
      <pivotArea field="7" type="button" dataOnly="0" labelOnly="1" outline="0" axis="axisCol" fieldPosition="0"/>
    </format>
    <format dxfId="114">
      <pivotArea type="origin" dataOnly="0" labelOnly="1" outline="0" fieldPosition="0"/>
    </format>
    <format dxfId="113">
      <pivotArea field="20" type="button" dataOnly="0" labelOnly="1" outline="0" axis="axisRow" fieldPosition="0"/>
    </format>
    <format dxfId="112">
      <pivotArea dataOnly="0" labelOnly="1" fieldPosition="0">
        <references count="1">
          <reference field="20" count="9">
            <x v="4"/>
            <x v="5"/>
            <x v="6"/>
            <x v="7"/>
            <x v="8"/>
            <x v="9"/>
            <x v="10"/>
            <x v="11"/>
            <x v="12"/>
          </reference>
        </references>
      </pivotArea>
    </format>
    <format dxfId="111">
      <pivotArea field="7" type="button" dataOnly="0" labelOnly="1" outline="0" axis="axisCol" fieldPosition="0"/>
    </format>
    <format dxfId="110">
      <pivotArea type="topRight" dataOnly="0" labelOnly="1" outline="0" fieldPosition="0"/>
    </format>
    <format dxfId="109">
      <pivotArea dataOnly="0" labelOnly="1" fieldPosition="0">
        <references count="1">
          <reference field="7" count="0"/>
        </references>
      </pivotArea>
    </format>
    <format dxfId="108">
      <pivotArea outline="0" collapsedLevelsAreSubtotals="1" fieldPosition="0"/>
    </format>
    <format dxfId="107">
      <pivotArea type="origin" dataOnly="0" labelOnly="1" outline="0" fieldPosition="0"/>
    </format>
    <format dxfId="106">
      <pivotArea field="20" type="button" dataOnly="0" labelOnly="1" outline="0" axis="axisRow" fieldPosition="0"/>
    </format>
    <format dxfId="105">
      <pivotArea dataOnly="0" labelOnly="1" fieldPosition="0">
        <references count="1">
          <reference field="20" count="9">
            <x v="4"/>
            <x v="5"/>
            <x v="6"/>
            <x v="7"/>
            <x v="8"/>
            <x v="9"/>
            <x v="10"/>
            <x v="11"/>
            <x v="12"/>
          </reference>
        </references>
      </pivotArea>
    </format>
    <format dxfId="104">
      <pivotArea field="7" type="button" dataOnly="0" labelOnly="1" outline="0" axis="axisCol" fieldPosition="0"/>
    </format>
    <format dxfId="103">
      <pivotArea type="topRight" dataOnly="0" labelOnly="1" outline="0" fieldPosition="0"/>
    </format>
    <format dxfId="102">
      <pivotArea dataOnly="0" labelOnly="1" fieldPosition="0">
        <references count="1">
          <reference field="7" count="0"/>
        </references>
      </pivotArea>
    </format>
    <format dxfId="101">
      <pivotArea outline="0" collapsedLevelsAreSubtotals="1" fieldPosition="0"/>
    </format>
  </formats>
  <chartFormats count="6">
    <chartFormat chart="3" format="0" series="1">
      <pivotArea type="data" outline="0" fieldPosition="0">
        <references count="2">
          <reference field="4294967294" count="1" selected="0">
            <x v="0"/>
          </reference>
          <reference field="7" count="1" selected="0">
            <x v="0"/>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3" format="2" series="1">
      <pivotArea type="data" outline="0" fieldPosition="0">
        <references count="2">
          <reference field="4294967294" count="1" selected="0">
            <x v="0"/>
          </reference>
          <reference field="7" count="1" selected="0">
            <x v="2"/>
          </reference>
        </references>
      </pivotArea>
    </chartFormat>
    <chartFormat chart="5" format="6" series="1">
      <pivotArea type="data" outline="0" fieldPosition="0">
        <references count="2">
          <reference field="4294967294" count="1" selected="0">
            <x v="0"/>
          </reference>
          <reference field="7" count="1" selected="0">
            <x v="0"/>
          </reference>
        </references>
      </pivotArea>
    </chartFormat>
    <chartFormat chart="5" format="7" series="1">
      <pivotArea type="data" outline="0" fieldPosition="0">
        <references count="2">
          <reference field="4294967294" count="1" selected="0">
            <x v="0"/>
          </reference>
          <reference field="7" count="1" selected="0">
            <x v="1"/>
          </reference>
        </references>
      </pivotArea>
    </chartFormat>
    <chartFormat chart="5"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FA5BB7-D755-40CD-9BE0-A8C88B625399}" name="pmt_mod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rowHeaderCaption="Payment Mode" colHeaderCaption="Customer Segment">
  <location ref="C71:D75" firstHeaderRow="1" firstDataRow="1" firstDataCol="1"/>
  <pivotFields count="21">
    <pivotField dataField="1" showAll="0"/>
    <pivotField numFmtId="14" showAll="0">
      <items count="25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0"/>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showAll="0"/>
    <pivotField showAll="0"/>
    <pivotField showAll="0"/>
    <pivotField showAll="0"/>
    <pivotField showAll="0">
      <items count="11">
        <item x="1"/>
        <item x="2"/>
        <item x="7"/>
        <item x="6"/>
        <item x="3"/>
        <item x="8"/>
        <item x="4"/>
        <item x="0"/>
        <item x="9"/>
        <item x="5"/>
        <item t="default"/>
      </items>
    </pivotField>
    <pivotField showAll="0">
      <items count="4">
        <item x="1"/>
        <item x="0"/>
        <item x="2"/>
        <item t="default"/>
      </items>
    </pivotField>
    <pivotField showAll="0"/>
    <pivotField showAll="0"/>
    <pivotField axis="axisRow" showAll="0">
      <items count="5">
        <item x="0"/>
        <item x="1"/>
        <item x="3"/>
        <item x="2"/>
        <item t="default"/>
      </items>
    </pivotField>
    <pivotField showAll="0"/>
    <pivotField showAll="0">
      <items count="4">
        <item x="0"/>
        <item x="1"/>
        <item x="2"/>
        <item t="default"/>
      </items>
    </pivotField>
    <pivotField numFmtId="164" showAll="0"/>
    <pivotField showAll="0"/>
    <pivotField numFmtId="22" showAll="0"/>
    <pivotField numFmtId="1" showAll="0"/>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4">
    <i>
      <x/>
    </i>
    <i>
      <x v="1"/>
    </i>
    <i>
      <x v="2"/>
    </i>
    <i>
      <x v="3"/>
    </i>
  </rowItems>
  <colItems count="1">
    <i/>
  </colItems>
  <dataFields count="1">
    <dataField name="Count" fld="0" subtotal="count" baseField="10" baseItem="0"/>
  </dataFields>
  <formats count="14">
    <format dxfId="134">
      <pivotArea type="all" dataOnly="0" outline="0" fieldPosition="0"/>
    </format>
    <format dxfId="133">
      <pivotArea outline="0" collapsedLevelsAreSubtotals="1" fieldPosition="0"/>
    </format>
    <format dxfId="132">
      <pivotArea type="origin" dataOnly="0" labelOnly="1" outline="0" fieldPosition="0"/>
    </format>
    <format dxfId="131">
      <pivotArea field="12" type="button" dataOnly="0" labelOnly="1" outline="0"/>
    </format>
    <format dxfId="130">
      <pivotArea type="topRight" dataOnly="0" labelOnly="1" outline="0" fieldPosition="0"/>
    </format>
    <format dxfId="129">
      <pivotArea field="7" type="button" dataOnly="0" labelOnly="1" outline="0"/>
    </format>
    <format dxfId="128">
      <pivotArea field="10" type="button" dataOnly="0" labelOnly="1" outline="0" axis="axisRow" fieldPosition="0"/>
    </format>
    <format dxfId="127">
      <pivotArea dataOnly="0" labelOnly="1" fieldPosition="0">
        <references count="1">
          <reference field="10" count="0"/>
        </references>
      </pivotArea>
    </format>
    <format dxfId="126">
      <pivotArea dataOnly="0" labelOnly="1" outline="0" axis="axisValues" fieldPosition="0"/>
    </format>
    <format dxfId="125">
      <pivotArea outline="0" collapsedLevelsAreSubtotals="1" fieldPosition="0"/>
    </format>
    <format dxfId="124">
      <pivotArea field="10" type="button" dataOnly="0" labelOnly="1" outline="0" axis="axisRow" fieldPosition="0"/>
    </format>
    <format dxfId="123">
      <pivotArea dataOnly="0" labelOnly="1" fieldPosition="0">
        <references count="1">
          <reference field="10" count="0"/>
        </references>
      </pivotArea>
    </format>
    <format dxfId="122">
      <pivotArea dataOnly="0" labelOnly="1" outline="0" axis="axisValues" fieldPosition="0"/>
    </format>
    <format dxfId="121">
      <pivotArea outline="0" collapsedLevelsAreSubtotals="1" fieldPosition="0"/>
    </format>
  </formats>
  <chartFormats count="10">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0" count="1" selected="0">
            <x v="0"/>
          </reference>
        </references>
      </pivotArea>
    </chartFormat>
    <chartFormat chart="7" format="8">
      <pivotArea type="data" outline="0" fieldPosition="0">
        <references count="2">
          <reference field="4294967294" count="1" selected="0">
            <x v="0"/>
          </reference>
          <reference field="10" count="1" selected="0">
            <x v="1"/>
          </reference>
        </references>
      </pivotArea>
    </chartFormat>
    <chartFormat chart="7" format="9">
      <pivotArea type="data" outline="0" fieldPosition="0">
        <references count="2">
          <reference field="4294967294" count="1" selected="0">
            <x v="0"/>
          </reference>
          <reference field="10" count="1" selected="0">
            <x v="2"/>
          </reference>
        </references>
      </pivotArea>
    </chartFormat>
    <chartFormat chart="7" format="10">
      <pivotArea type="data" outline="0" fieldPosition="0">
        <references count="2">
          <reference field="4294967294" count="1" selected="0">
            <x v="0"/>
          </reference>
          <reference field="10" count="1" selected="0">
            <x v="3"/>
          </reference>
        </references>
      </pivotArea>
    </chartFormat>
    <chartFormat chart="5" format="1">
      <pivotArea type="data" outline="0" fieldPosition="0">
        <references count="2">
          <reference field="4294967294" count="1" selected="0">
            <x v="0"/>
          </reference>
          <reference field="10" count="1" selected="0">
            <x v="0"/>
          </reference>
        </references>
      </pivotArea>
    </chartFormat>
    <chartFormat chart="5" format="2">
      <pivotArea type="data" outline="0" fieldPosition="0">
        <references count="2">
          <reference field="4294967294" count="1" selected="0">
            <x v="0"/>
          </reference>
          <reference field="10" count="1" selected="0">
            <x v="1"/>
          </reference>
        </references>
      </pivotArea>
    </chartFormat>
    <chartFormat chart="5" format="3">
      <pivotArea type="data" outline="0" fieldPosition="0">
        <references count="2">
          <reference field="4294967294" count="1" selected="0">
            <x v="0"/>
          </reference>
          <reference field="10" count="1" selected="0">
            <x v="2"/>
          </reference>
        </references>
      </pivotArea>
    </chartFormat>
    <chartFormat chart="5" format="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611420-918F-46D3-AF73-5A0047DFF5E7}" name="sales_by_category"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20" rowHeaderCaption="Category" colHeaderCaption="Customer Segment">
  <location ref="C39:F44" firstHeaderRow="1" firstDataRow="2" firstDataCol="1"/>
  <pivotFields count="21">
    <pivotField showAll="0"/>
    <pivotField numFmtId="14" showAll="0">
      <items count="25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0"/>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axis="axisCol" showAll="0">
      <items count="4">
        <item x="0"/>
        <item x="1"/>
        <item x="2"/>
        <item t="default"/>
      </items>
    </pivotField>
    <pivotField numFmtId="164" showAll="0"/>
    <pivotField dataField="1" showAll="0"/>
    <pivotField numFmtId="22" showAll="0"/>
    <pivotField numFmtId="1" showAll="0"/>
    <pivotField showAll="0"/>
    <pivotField numFmtId="1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Fields count="1">
    <field x="12"/>
  </colFields>
  <colItems count="3">
    <i>
      <x/>
    </i>
    <i>
      <x v="1"/>
    </i>
    <i>
      <x v="2"/>
    </i>
  </colItems>
  <dataFields count="1">
    <dataField name="Total Sales" fld="14" baseField="0" baseItem="0"/>
  </dataFields>
  <formats count="29">
    <format dxfId="31">
      <pivotArea type="all" dataOnly="0" outline="0" fieldPosition="0"/>
    </format>
    <format dxfId="32">
      <pivotArea outline="0" collapsedLevelsAreSubtotals="1" fieldPosition="0"/>
    </format>
    <format dxfId="33">
      <pivotArea type="origin" dataOnly="0" labelOnly="1" outline="0" fieldPosition="0"/>
    </format>
    <format dxfId="34">
      <pivotArea field="12" type="button" dataOnly="0" labelOnly="1" outline="0" axis="axisCol" fieldPosition="0"/>
    </format>
    <format dxfId="35">
      <pivotArea type="topRight" dataOnly="0" labelOnly="1" outline="0" fieldPosition="0"/>
    </format>
    <format dxfId="36">
      <pivotArea field="7" type="button" dataOnly="0" labelOnly="1" outline="0" axis="axisRow" fieldPosition="0"/>
    </format>
    <format dxfId="37">
      <pivotArea dataOnly="0" labelOnly="1" fieldPosition="0">
        <references count="1">
          <reference field="7" count="0"/>
        </references>
      </pivotArea>
    </format>
    <format dxfId="38">
      <pivotArea dataOnly="0" labelOnly="1" fieldPosition="0">
        <references count="1">
          <reference field="12" count="0"/>
        </references>
      </pivotArea>
    </format>
    <format dxfId="39">
      <pivotArea dataOnly="0" labelOnly="1" fieldPosition="0">
        <references count="1">
          <reference field="7" count="0"/>
        </references>
      </pivotArea>
    </format>
    <format dxfId="40">
      <pivotArea type="origin" dataOnly="0" labelOnly="1" outline="0" fieldPosition="0"/>
    </format>
    <format dxfId="41">
      <pivotArea field="12" type="button" dataOnly="0" labelOnly="1" outline="0" axis="axisCol" fieldPosition="0"/>
    </format>
    <format dxfId="42">
      <pivotArea type="topRight" dataOnly="0" labelOnly="1" outline="0" fieldPosition="0"/>
    </format>
    <format dxfId="43">
      <pivotArea field="7" type="button" dataOnly="0" labelOnly="1" outline="0" axis="axisRow" fieldPosition="0"/>
    </format>
    <format dxfId="44">
      <pivotArea dataOnly="0" labelOnly="1" fieldPosition="0">
        <references count="1">
          <reference field="12" count="0"/>
        </references>
      </pivotArea>
    </format>
    <format dxfId="45">
      <pivotArea outline="0" collapsedLevelsAreSubtotals="1" fieldPosition="0"/>
    </format>
    <format dxfId="46">
      <pivotArea type="origin" dataOnly="0" labelOnly="1" outline="0" fieldPosition="0"/>
    </format>
    <format dxfId="47">
      <pivotArea field="7" type="button" dataOnly="0" labelOnly="1" outline="0" axis="axisRow" fieldPosition="0"/>
    </format>
    <format dxfId="48">
      <pivotArea dataOnly="0" labelOnly="1" fieldPosition="0">
        <references count="1">
          <reference field="7" count="0"/>
        </references>
      </pivotArea>
    </format>
    <format dxfId="49">
      <pivotArea field="12" type="button" dataOnly="0" labelOnly="1" outline="0" axis="axisCol" fieldPosition="0"/>
    </format>
    <format dxfId="50">
      <pivotArea type="topRight" dataOnly="0" labelOnly="1" outline="0" fieldPosition="0"/>
    </format>
    <format dxfId="51">
      <pivotArea dataOnly="0" labelOnly="1" fieldPosition="0">
        <references count="1">
          <reference field="12" count="0"/>
        </references>
      </pivotArea>
    </format>
    <format dxfId="8">
      <pivotArea type="origin" dataOnly="0" labelOnly="1" outline="0" fieldPosition="0"/>
    </format>
    <format dxfId="7">
      <pivotArea field="7" type="button" dataOnly="0" labelOnly="1" outline="0" axis="axisRow" fieldPosition="0"/>
    </format>
    <format dxfId="6">
      <pivotArea dataOnly="0" labelOnly="1" fieldPosition="0">
        <references count="1">
          <reference field="7" count="0"/>
        </references>
      </pivotArea>
    </format>
    <format dxfId="5">
      <pivotArea dataOnly="0" labelOnly="1" grandRow="1" outline="0" fieldPosition="0"/>
    </format>
    <format dxfId="4">
      <pivotArea field="12" type="button" dataOnly="0" labelOnly="1" outline="0" axis="axisCol" fieldPosition="0"/>
    </format>
    <format dxfId="3">
      <pivotArea type="topRight" dataOnly="0" labelOnly="1" outline="0" fieldPosition="0"/>
    </format>
    <format dxfId="2">
      <pivotArea dataOnly="0" labelOnly="1" fieldPosition="0">
        <references count="1">
          <reference field="12" count="0"/>
        </references>
      </pivotArea>
    </format>
    <format dxfId="1">
      <pivotArea outline="0" collapsedLevelsAreSubtotals="1" fieldPosition="0"/>
    </format>
  </formats>
  <chartFormats count="7">
    <chartFormat chart="17" format="0" series="1">
      <pivotArea type="data" outline="0" fieldPosition="0">
        <references count="2">
          <reference field="4294967294" count="1" selected="0">
            <x v="0"/>
          </reference>
          <reference field="12" count="1" selected="0">
            <x v="0"/>
          </reference>
        </references>
      </pivotArea>
    </chartFormat>
    <chartFormat chart="17" format="1" series="1">
      <pivotArea type="data" outline="0" fieldPosition="0">
        <references count="2">
          <reference field="4294967294" count="1" selected="0">
            <x v="0"/>
          </reference>
          <reference field="12" count="1" selected="0">
            <x v="1"/>
          </reference>
        </references>
      </pivotArea>
    </chartFormat>
    <chartFormat chart="17" format="2" series="1">
      <pivotArea type="data" outline="0" fieldPosition="0">
        <references count="2">
          <reference field="4294967294" count="1" selected="0">
            <x v="0"/>
          </reference>
          <reference field="12" count="1" selected="0">
            <x v="2"/>
          </reference>
        </references>
      </pivotArea>
    </chartFormat>
    <chartFormat chart="17" format="3">
      <pivotArea type="data" outline="0" fieldPosition="0">
        <references count="3">
          <reference field="4294967294" count="1" selected="0">
            <x v="0"/>
          </reference>
          <reference field="7" count="1" selected="0">
            <x v="0"/>
          </reference>
          <reference field="12" count="1" selected="0">
            <x v="1"/>
          </reference>
        </references>
      </pivotArea>
    </chartFormat>
    <chartFormat chart="19" format="7" series="1">
      <pivotArea type="data" outline="0" fieldPosition="0">
        <references count="2">
          <reference field="4294967294" count="1" selected="0">
            <x v="0"/>
          </reference>
          <reference field="12" count="1" selected="0">
            <x v="0"/>
          </reference>
        </references>
      </pivotArea>
    </chartFormat>
    <chartFormat chart="19" format="8" series="1">
      <pivotArea type="data" outline="0" fieldPosition="0">
        <references count="2">
          <reference field="4294967294" count="1" selected="0">
            <x v="0"/>
          </reference>
          <reference field="12" count="1" selected="0">
            <x v="1"/>
          </reference>
        </references>
      </pivotArea>
    </chartFormat>
    <chartFormat chart="19" format="9"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A8F184-8DD3-4A46-AEDB-D29148338225}" name="category_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6" rowHeaderCaption="Category" colHeaderCaption="Customer Segment">
  <location ref="C124:D127" firstHeaderRow="1" firstDataRow="1" firstDataCol="1"/>
  <pivotFields count="21">
    <pivotField showAll="0"/>
    <pivotField numFmtId="14" showAll="0">
      <items count="25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0"/>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showAll="0"/>
    <pivotField showAll="0"/>
    <pivotField showAll="0"/>
    <pivotField showAll="0"/>
    <pivotField showAll="0">
      <items count="11">
        <item x="1"/>
        <item x="2"/>
        <item x="7"/>
        <item x="6"/>
        <item x="3"/>
        <item x="8"/>
        <item x="4"/>
        <item x="0"/>
        <item x="9"/>
        <item x="5"/>
        <item t="default"/>
      </items>
    </pivotField>
    <pivotField axis="axisRow" showAll="0">
      <items count="4">
        <item x="1"/>
        <item x="0"/>
        <item x="2"/>
        <item t="default"/>
      </items>
    </pivotField>
    <pivotField showAll="0"/>
    <pivotField showAll="0"/>
    <pivotField showAll="0"/>
    <pivotField showAll="0"/>
    <pivotField showAll="0">
      <items count="4">
        <item x="0"/>
        <item x="1"/>
        <item x="2"/>
        <item t="default"/>
      </items>
    </pivotField>
    <pivotField numFmtId="164" showAll="0"/>
    <pivotField dataField="1" showAll="0"/>
    <pivotField numFmtId="22" showAll="0"/>
    <pivotField numFmtId="1" showAll="0"/>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3">
    <i>
      <x/>
    </i>
    <i>
      <x v="1"/>
    </i>
    <i>
      <x v="2"/>
    </i>
  </rowItems>
  <colItems count="1">
    <i/>
  </colItems>
  <dataFields count="1">
    <dataField name="Total Revenue" fld="14" baseField="0" baseItem="0"/>
  </dataFields>
  <formats count="14">
    <format dxfId="148">
      <pivotArea type="all" dataOnly="0" outline="0" fieldPosition="0"/>
    </format>
    <format dxfId="147">
      <pivotArea outline="0" collapsedLevelsAreSubtotals="1" fieldPosition="0"/>
    </format>
    <format dxfId="146">
      <pivotArea type="origin" dataOnly="0" labelOnly="1" outline="0" fieldPosition="0"/>
    </format>
    <format dxfId="145">
      <pivotArea field="12" type="button" dataOnly="0" labelOnly="1" outline="0"/>
    </format>
    <format dxfId="144">
      <pivotArea type="topRight" dataOnly="0" labelOnly="1" outline="0" fieldPosition="0"/>
    </format>
    <format dxfId="143">
      <pivotArea field="7" type="button" dataOnly="0" labelOnly="1" outline="0" axis="axisRow" fieldPosition="0"/>
    </format>
    <format dxfId="142">
      <pivotArea field="7" type="button" dataOnly="0" labelOnly="1" outline="0" axis="axisRow" fieldPosition="0"/>
    </format>
    <format dxfId="141">
      <pivotArea dataOnly="0" labelOnly="1" fieldPosition="0">
        <references count="1">
          <reference field="7" count="0"/>
        </references>
      </pivotArea>
    </format>
    <format dxfId="140">
      <pivotArea dataOnly="0" labelOnly="1" outline="0" axis="axisValues" fieldPosition="0"/>
    </format>
    <format dxfId="139">
      <pivotArea outline="0" collapsedLevelsAreSubtotals="1" fieldPosition="0"/>
    </format>
    <format dxfId="138">
      <pivotArea field="7" type="button" dataOnly="0" labelOnly="1" outline="0" axis="axisRow" fieldPosition="0"/>
    </format>
    <format dxfId="137">
      <pivotArea dataOnly="0" labelOnly="1" fieldPosition="0">
        <references count="1">
          <reference field="7" count="0"/>
        </references>
      </pivotArea>
    </format>
    <format dxfId="136">
      <pivotArea dataOnly="0" labelOnly="1" outline="0" axis="axisValues" fieldPosition="0"/>
    </format>
    <format dxfId="135">
      <pivotArea outline="0" collapsedLevelsAreSubtotals="1" fieldPosition="0"/>
    </format>
  </formats>
  <chartFormats count="8">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7" count="1" selected="0">
            <x v="0"/>
          </reference>
        </references>
      </pivotArea>
    </chartFormat>
    <chartFormat chart="15" format="7">
      <pivotArea type="data" outline="0" fieldPosition="0">
        <references count="2">
          <reference field="4294967294" count="1" selected="0">
            <x v="0"/>
          </reference>
          <reference field="7" count="1" selected="0">
            <x v="1"/>
          </reference>
        </references>
      </pivotArea>
    </chartFormat>
    <chartFormat chart="15" format="8">
      <pivotArea type="data" outline="0" fieldPosition="0">
        <references count="2">
          <reference field="4294967294" count="1" selected="0">
            <x v="0"/>
          </reference>
          <reference field="7" count="1" selected="0">
            <x v="2"/>
          </reference>
        </references>
      </pivotArea>
    </chartFormat>
    <chartFormat chart="13" format="1">
      <pivotArea type="data" outline="0" fieldPosition="0">
        <references count="2">
          <reference field="4294967294" count="1" selected="0">
            <x v="0"/>
          </reference>
          <reference field="7" count="1" selected="0">
            <x v="0"/>
          </reference>
        </references>
      </pivotArea>
    </chartFormat>
    <chartFormat chart="13" format="2">
      <pivotArea type="data" outline="0" fieldPosition="0">
        <references count="2">
          <reference field="4294967294" count="1" selected="0">
            <x v="0"/>
          </reference>
          <reference field="7" count="1" selected="0">
            <x v="1"/>
          </reference>
        </references>
      </pivotArea>
    </chartFormat>
    <chartFormat chart="1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C730BC-87B5-40D5-A151-9D66F1C8C03B}" name="customer_segment_dis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6" rowHeaderCaption="Product Name" colHeaderCaption="Customer Segment">
  <location ref="C106:F112" firstHeaderRow="1" firstDataRow="2" firstDataCol="1"/>
  <pivotFields count="21">
    <pivotField dataField="1" showAll="0"/>
    <pivotField numFmtId="14" showAll="0">
      <items count="25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0"/>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showAll="0"/>
    <pivotField showAll="0"/>
    <pivotField showAll="0"/>
    <pivotField showAll="0"/>
    <pivotField showAll="0">
      <items count="11">
        <item x="1"/>
        <item x="2"/>
        <item x="7"/>
        <item x="6"/>
        <item x="3"/>
        <item x="8"/>
        <item x="4"/>
        <item x="0"/>
        <item x="9"/>
        <item x="5"/>
        <item t="default"/>
      </items>
    </pivotField>
    <pivotField showAll="0">
      <items count="4">
        <item x="1"/>
        <item x="0"/>
        <item x="2"/>
        <item t="default"/>
      </items>
    </pivotField>
    <pivotField showAll="0"/>
    <pivotField showAll="0"/>
    <pivotField showAll="0"/>
    <pivotField axis="axisRow" showAll="0">
      <items count="6">
        <item x="0"/>
        <item x="4"/>
        <item x="2"/>
        <item x="1"/>
        <item x="3"/>
        <item t="default"/>
      </items>
    </pivotField>
    <pivotField axis="axisCol" showAll="0">
      <items count="4">
        <item x="0"/>
        <item x="1"/>
        <item x="2"/>
        <item t="default"/>
      </items>
    </pivotField>
    <pivotField numFmtId="164" showAll="0"/>
    <pivotField showAll="0"/>
    <pivotField numFmtId="22" showAll="0"/>
    <pivotField numFmtId="1" showAll="0"/>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5">
    <i>
      <x/>
    </i>
    <i>
      <x v="1"/>
    </i>
    <i>
      <x v="2"/>
    </i>
    <i>
      <x v="3"/>
    </i>
    <i>
      <x v="4"/>
    </i>
  </rowItems>
  <colFields count="1">
    <field x="12"/>
  </colFields>
  <colItems count="3">
    <i>
      <x/>
    </i>
    <i>
      <x v="1"/>
    </i>
    <i>
      <x v="2"/>
    </i>
  </colItems>
  <dataFields count="1">
    <dataField name="Count of Transaction_ID" fld="0" subtotal="count" baseField="0" baseItem="0"/>
  </dataFields>
  <formats count="20">
    <format dxfId="168">
      <pivotArea type="all" dataOnly="0" outline="0" fieldPosition="0"/>
    </format>
    <format dxfId="167">
      <pivotArea outline="0" collapsedLevelsAreSubtotals="1" fieldPosition="0"/>
    </format>
    <format dxfId="166">
      <pivotArea type="origin" dataOnly="0" labelOnly="1" outline="0" fieldPosition="0"/>
    </format>
    <format dxfId="165">
      <pivotArea field="12" type="button" dataOnly="0" labelOnly="1" outline="0" axis="axisCol" fieldPosition="0"/>
    </format>
    <format dxfId="164">
      <pivotArea type="topRight" dataOnly="0" labelOnly="1" outline="0" fieldPosition="0"/>
    </format>
    <format dxfId="163">
      <pivotArea field="7" type="button" dataOnly="0" labelOnly="1" outline="0"/>
    </format>
    <format dxfId="162">
      <pivotArea type="origin" dataOnly="0" labelOnly="1" outline="0" fieldPosition="0"/>
    </format>
    <format dxfId="161">
      <pivotArea field="11" type="button" dataOnly="0" labelOnly="1" outline="0" axis="axisRow" fieldPosition="0"/>
    </format>
    <format dxfId="160">
      <pivotArea dataOnly="0" labelOnly="1" fieldPosition="0">
        <references count="1">
          <reference field="11" count="0"/>
        </references>
      </pivotArea>
    </format>
    <format dxfId="159">
      <pivotArea field="12" type="button" dataOnly="0" labelOnly="1" outline="0" axis="axisCol" fieldPosition="0"/>
    </format>
    <format dxfId="158">
      <pivotArea type="topRight" dataOnly="0" labelOnly="1" outline="0" fieldPosition="0"/>
    </format>
    <format dxfId="157">
      <pivotArea dataOnly="0" labelOnly="1" fieldPosition="0">
        <references count="1">
          <reference field="12" count="0"/>
        </references>
      </pivotArea>
    </format>
    <format dxfId="156">
      <pivotArea outline="0" collapsedLevelsAreSubtotals="1" fieldPosition="0"/>
    </format>
    <format dxfId="155">
      <pivotArea type="origin" dataOnly="0" labelOnly="1" outline="0" fieldPosition="0"/>
    </format>
    <format dxfId="154">
      <pivotArea field="11" type="button" dataOnly="0" labelOnly="1" outline="0" axis="axisRow" fieldPosition="0"/>
    </format>
    <format dxfId="153">
      <pivotArea dataOnly="0" labelOnly="1" fieldPosition="0">
        <references count="1">
          <reference field="11" count="0"/>
        </references>
      </pivotArea>
    </format>
    <format dxfId="152">
      <pivotArea field="12" type="button" dataOnly="0" labelOnly="1" outline="0" axis="axisCol" fieldPosition="0"/>
    </format>
    <format dxfId="151">
      <pivotArea type="topRight" dataOnly="0" labelOnly="1" outline="0" fieldPosition="0"/>
    </format>
    <format dxfId="150">
      <pivotArea dataOnly="0" labelOnly="1" fieldPosition="0">
        <references count="1">
          <reference field="12" count="0"/>
        </references>
      </pivotArea>
    </format>
    <format dxfId="149">
      <pivotArea outline="0" collapsedLevelsAreSubtotals="1" fieldPosition="0"/>
    </format>
  </formats>
  <chartFormats count="6">
    <chartFormat chart="13" format="0" series="1">
      <pivotArea type="data" outline="0" fieldPosition="0">
        <references count="2">
          <reference field="4294967294" count="1" selected="0">
            <x v="0"/>
          </reference>
          <reference field="12" count="1" selected="0">
            <x v="0"/>
          </reference>
        </references>
      </pivotArea>
    </chartFormat>
    <chartFormat chart="13" format="1" series="1">
      <pivotArea type="data" outline="0" fieldPosition="0">
        <references count="2">
          <reference field="4294967294" count="1" selected="0">
            <x v="0"/>
          </reference>
          <reference field="12" count="1" selected="0">
            <x v="1"/>
          </reference>
        </references>
      </pivotArea>
    </chartFormat>
    <chartFormat chart="13" format="2" series="1">
      <pivotArea type="data" outline="0" fieldPosition="0">
        <references count="2">
          <reference field="4294967294" count="1" selected="0">
            <x v="0"/>
          </reference>
          <reference field="12" count="1" selected="0">
            <x v="2"/>
          </reference>
        </references>
      </pivotArea>
    </chartFormat>
    <chartFormat chart="15" format="6" series="1">
      <pivotArea type="data" outline="0" fieldPosition="0">
        <references count="2">
          <reference field="4294967294" count="1" selected="0">
            <x v="0"/>
          </reference>
          <reference field="12" count="1" selected="0">
            <x v="0"/>
          </reference>
        </references>
      </pivotArea>
    </chartFormat>
    <chartFormat chart="15" format="7" series="1">
      <pivotArea type="data" outline="0" fieldPosition="0">
        <references count="2">
          <reference field="4294967294" count="1" selected="0">
            <x v="0"/>
          </reference>
          <reference field="12" count="1" selected="0">
            <x v="1"/>
          </reference>
        </references>
      </pivotArea>
    </chartFormat>
    <chartFormat chart="15"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FCC0A4-AE58-4891-AC1A-8213E4B9C8C9}"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2" rowHeaderCaption="Product Name" colHeaderCaption="Customer Segment">
  <location ref="L89:M99" firstHeaderRow="1" firstDataRow="1" firstDataCol="1"/>
  <pivotFields count="21">
    <pivotField showAll="0"/>
    <pivotField numFmtId="14" showAll="0">
      <items count="25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0"/>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showAll="0"/>
    <pivotField showAll="0"/>
    <pivotField showAll="0"/>
    <pivotField showAll="0"/>
    <pivotField axis="axisRow"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showAll="0"/>
    <pivotField showAll="0">
      <items count="4">
        <item x="0"/>
        <item x="1"/>
        <item x="2"/>
        <item t="default"/>
      </items>
    </pivotField>
    <pivotField numFmtId="164" showAll="0"/>
    <pivotField dataField="1" showAll="0"/>
    <pivotField numFmtId="22" showAll="0"/>
    <pivotField numFmtId="1" showAll="0"/>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0">
    <i>
      <x v="6"/>
    </i>
    <i>
      <x v="9"/>
    </i>
    <i>
      <x v="3"/>
    </i>
    <i>
      <x v="7"/>
    </i>
    <i>
      <x v="1"/>
    </i>
    <i>
      <x v="8"/>
    </i>
    <i>
      <x v="5"/>
    </i>
    <i>
      <x v="4"/>
    </i>
    <i>
      <x/>
    </i>
    <i>
      <x v="2"/>
    </i>
  </rowItems>
  <colItems count="1">
    <i/>
  </colItems>
  <dataFields count="1">
    <dataField name="Total Revenue" fld="14" baseField="0" baseItem="0"/>
  </dataFields>
  <formats count="17">
    <format dxfId="185">
      <pivotArea type="all" dataOnly="0" outline="0" fieldPosition="0"/>
    </format>
    <format dxfId="184">
      <pivotArea outline="0" collapsedLevelsAreSubtotals="1" fieldPosition="0"/>
    </format>
    <format dxfId="183">
      <pivotArea type="origin" dataOnly="0" labelOnly="1" outline="0" fieldPosition="0"/>
    </format>
    <format dxfId="182">
      <pivotArea field="12" type="button" dataOnly="0" labelOnly="1" outline="0"/>
    </format>
    <format dxfId="181">
      <pivotArea type="topRight" dataOnly="0" labelOnly="1" outline="0" fieldPosition="0"/>
    </format>
    <format dxfId="180">
      <pivotArea field="7" type="button" dataOnly="0" labelOnly="1" outline="0"/>
    </format>
    <format dxfId="179">
      <pivotArea field="6" type="button" dataOnly="0" labelOnly="1" outline="0" axis="axisRow" fieldPosition="0"/>
    </format>
    <format dxfId="178">
      <pivotArea dataOnly="0" labelOnly="1" fieldPosition="0">
        <references count="1">
          <reference field="6" count="0"/>
        </references>
      </pivotArea>
    </format>
    <format dxfId="177">
      <pivotArea dataOnly="0" labelOnly="1" outline="0" axis="axisValues" fieldPosition="0"/>
    </format>
    <format dxfId="176">
      <pivotArea outline="0" collapsedLevelsAreSubtotals="1" fieldPosition="0"/>
    </format>
    <format dxfId="175">
      <pivotArea field="6" type="button" dataOnly="0" labelOnly="1" outline="0" axis="axisRow" fieldPosition="0"/>
    </format>
    <format dxfId="174">
      <pivotArea dataOnly="0" labelOnly="1" fieldPosition="0">
        <references count="1">
          <reference field="6" count="0"/>
        </references>
      </pivotArea>
    </format>
    <format dxfId="173">
      <pivotArea dataOnly="0" labelOnly="1" outline="0" axis="axisValues" fieldPosition="0"/>
    </format>
    <format dxfId="172">
      <pivotArea field="6" type="button" dataOnly="0" labelOnly="1" outline="0" axis="axisRow" fieldPosition="0"/>
    </format>
    <format dxfId="171">
      <pivotArea dataOnly="0" labelOnly="1" fieldPosition="0">
        <references count="1">
          <reference field="6" count="0"/>
        </references>
      </pivotArea>
    </format>
    <format dxfId="170">
      <pivotArea dataOnly="0" labelOnly="1" outline="0" axis="axisValues" fieldPosition="0"/>
    </format>
    <format dxfId="1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B01D2E-3F19-4E0E-9E68-314C32059103}" sourceName="Category">
  <pivotTables>
    <pivotTable tabId="4" name="monthly_sales"/>
  </pivotTables>
  <data>
    <tabular pivotCacheId="167807221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5E9366-7F5B-4FCC-8093-A49850C3FC36}" sourceName="Region">
  <pivotTables>
    <pivotTable tabId="4" name="monthly_sales"/>
  </pivotTables>
  <data>
    <tabular pivotCacheId="167807221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A44B6DA-00F6-414A-8AD7-4F90BCE96987}" sourceName="Customer_Segment">
  <pivotTables>
    <pivotTable tabId="4" name="monthly_sales"/>
  </pivotTables>
  <data>
    <tabular pivotCacheId="167807221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551286A-0354-4F20-9603-EE7E52CA4ABD}" cache="Slicer_Category" caption="Category" rowHeight="234950"/>
  <slicer name="Region" xr10:uid="{1CBD5D15-223C-4963-843E-650093E23198}" cache="Slicer_Region" caption="Region" rowHeight="234950"/>
  <slicer name="Customer_Segment" xr10:uid="{C1745D87-A4E5-4BAF-AF15-02FE54C86902}" cache="Slicer_Customer_Segment" caption="Customer_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B301FF-E902-43FC-8103-F013C6475BE9}" name="data" displayName="data" ref="B4:V254" totalsRowShown="0" headerRowDxfId="74" dataDxfId="73">
  <autoFilter ref="B4:V254" xr:uid="{84B301FF-E902-43FC-8103-F013C6475BE9}"/>
  <tableColumns count="21">
    <tableColumn id="1" xr3:uid="{93FB78A7-073D-4EE0-9986-D1708C112D35}" name="Transaction_ID" dataDxfId="72"/>
    <tableColumn id="2" xr3:uid="{0A4AA91C-1C92-4BFA-95CE-02ECBDA00CF8}" name="Date" dataDxfId="71"/>
    <tableColumn id="3" xr3:uid="{238EB77B-4372-4963-A0E8-BC48A1473ED0}" name="Customer_ID" dataDxfId="70"/>
    <tableColumn id="19" xr3:uid="{902FB100-98F7-43A6-B64B-AA0426BF4FD3}" name="Cust_ID_No." dataDxfId="69">
      <calculatedColumnFormula>RIGHT(data[[#This Row],[Customer_ID]],3)</calculatedColumnFormula>
    </tableColumn>
    <tableColumn id="4" xr3:uid="{80A23054-9A35-4194-94D8-92CA16281479}" name="Customer_Name" dataDxfId="68"/>
    <tableColumn id="5" xr3:uid="{A463097B-1AE1-4000-891C-8D8C2DFA49BC}" name="Product_ID" dataDxfId="67"/>
    <tableColumn id="6" xr3:uid="{3FE4C1AA-17C1-4F51-9B54-EA501C1AD53D}" name="Product_Name" dataDxfId="66"/>
    <tableColumn id="7" xr3:uid="{C575A13C-3A04-46BC-A470-0EEE5CF843A7}" name="Category" dataDxfId="65"/>
    <tableColumn id="8" xr3:uid="{FC34CC88-084F-4A15-9D6A-E6433424EDD3}" name="Quantity" dataDxfId="64"/>
    <tableColumn id="9" xr3:uid="{C494C8F9-117D-455E-AFF4-184344DF94EF}" name="Unit_Price" dataDxfId="63"/>
    <tableColumn id="10" xr3:uid="{3979AB44-B809-4160-A97E-43461AE308F5}" name="Payment_Method" dataDxfId="62"/>
    <tableColumn id="11" xr3:uid="{2F0707B6-B49D-4611-9345-3F0202DBCF53}" name="Region" dataDxfId="61"/>
    <tableColumn id="12" xr3:uid="{C1D75121-C6BD-4DBA-B242-75567EFD1319}" name="Customer_Segment" dataDxfId="60"/>
    <tableColumn id="13" xr3:uid="{CC886B23-C4F2-4486-BC55-98548DF9A53D}" name="Customer_Since" dataDxfId="59"/>
    <tableColumn id="14" xr3:uid="{DFC750D5-39B4-4321-A0C9-93E8999EF0CA}" name="Total_Amount" dataDxfId="58"/>
    <tableColumn id="16" xr3:uid="{D501CDB6-6809-4A6C-8AAE-FA80AE3187D8}" name="Timestamp" dataDxfId="57">
      <calculatedColumnFormula>NOW()</calculatedColumnFormula>
    </tableColumn>
    <tableColumn id="15" xr3:uid="{C4E59478-8D06-4DD5-A8AB-4781FCD6F1CA}" name="Customer_tenure(Months)" dataDxfId="56">
      <calculatedColumnFormula>DATEDIF(data[[#This Row],[Customer_Since]],data[[#This Row],[Timestamp]],"M")</calculatedColumnFormula>
    </tableColumn>
    <tableColumn id="17" xr3:uid="{EDCBDC3D-01E4-4EE0-9EF7-8AFABA7A5E5C}" name="Helper_col_prod_name" dataDxfId="55">
      <calculatedColumnFormula>COUNTIF($H$5:H5,H5)</calculatedColumnFormula>
    </tableColumn>
    <tableColumn id="20" xr3:uid="{731B4DF9-43D9-4B7C-B5AD-E4D1A9086885}" name="Helper_col_pmt" dataDxfId="54">
      <calculatedColumnFormula>COUNTIF($L$5:L5,L5)</calculatedColumnFormula>
    </tableColumn>
    <tableColumn id="21" xr3:uid="{DADFF0E5-DD89-4D00-9B5E-91EF28BF3267}" name="Helper_col_region" dataDxfId="53">
      <calculatedColumnFormula>COUNTIF($M$5:M5,M5)</calculatedColumnFormula>
    </tableColumn>
    <tableColumn id="18" xr3:uid="{26D8C9A0-881E-4457-BC90-C3FC3DE8F55C}" name="End_of_month" dataDxfId="52">
      <calculatedColumnFormula>EOMONTH(data[[#This Row],[Date]],0)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FA7A814-2745-41E5-8565-DB75442751DF}" sourceName="Date">
  <pivotTables>
    <pivotTable tabId="4" name="monthly_sales"/>
    <pivotTable tabId="4" name="category_sales"/>
    <pivotTable tabId="4" name="customer_segment_dist"/>
    <pivotTable tabId="4" name="pmt_mode"/>
    <pivotTable tabId="4" name="qty_sold"/>
    <pivotTable tabId="4" name="sales_by_category"/>
    <pivotTable tabId="4" name="PivotTable1"/>
    <pivotTable tabId="4" name="PivotTable2"/>
  </pivotTables>
  <state minimalRefreshVersion="6" lastRefreshVersion="6" pivotCacheId="1678072215"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0E5D8A1-F2CB-496F-BACA-0EBEBF8FF276}" cache="NativeTimeline_Date" caption="Date" level="2" selectionLevel="2" scrollPosition="2024-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selection activeCell="D2" sqref="D2"/>
    </sheetView>
  </sheetViews>
  <sheetFormatPr defaultColWidth="14.44140625" defaultRowHeight="15" customHeight="1" x14ac:dyDescent="0.3"/>
  <cols>
    <col min="1" max="1" width="87.33203125" customWidth="1"/>
    <col min="2" max="25" width="8.6640625" customWidth="1"/>
  </cols>
  <sheetData>
    <row r="1" spans="1:25" ht="21.6" customHeight="1" x14ac:dyDescent="0.3">
      <c r="A1" s="1" t="s">
        <v>0</v>
      </c>
      <c r="B1" s="2"/>
      <c r="C1" s="2"/>
      <c r="D1" s="2"/>
      <c r="E1" s="2"/>
      <c r="F1" s="2"/>
      <c r="G1" s="2"/>
      <c r="H1" s="2"/>
      <c r="I1" s="2"/>
      <c r="J1" s="2"/>
      <c r="K1" s="2"/>
      <c r="L1" s="2"/>
      <c r="M1" s="2"/>
      <c r="N1" s="2"/>
      <c r="O1" s="2"/>
      <c r="P1" s="2"/>
      <c r="Q1" s="2"/>
      <c r="R1" s="2"/>
      <c r="S1" s="2"/>
      <c r="T1" s="2"/>
      <c r="U1" s="2"/>
      <c r="V1" s="2"/>
      <c r="W1" s="2"/>
      <c r="X1" s="2"/>
      <c r="Y1" s="2"/>
    </row>
    <row r="2" spans="1:25" ht="409.6" x14ac:dyDescent="0.3">
      <c r="A2" s="6"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149FD-CBE0-49FC-BCD2-B190E531772A}">
  <dimension ref="A1"/>
  <sheetViews>
    <sheetView showGridLines="0" zoomScale="70" zoomScaleNormal="70" workbookViewId="0">
      <selection activeCell="V10" sqref="V10"/>
    </sheetView>
  </sheetViews>
  <sheetFormatPr defaultRowHeight="14.4" x14ac:dyDescent="0.3"/>
  <cols>
    <col min="1" max="1" width="8.88671875" style="1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2B440-3DD2-4F91-BAE1-904490D6F70F}">
  <dimension ref="A5:M147"/>
  <sheetViews>
    <sheetView tabSelected="1" topLeftCell="A132" workbookViewId="0">
      <selection activeCell="F146" sqref="F146"/>
    </sheetView>
  </sheetViews>
  <sheetFormatPr defaultRowHeight="14.4" x14ac:dyDescent="0.3"/>
  <cols>
    <col min="1" max="1" width="8.88671875" style="16"/>
    <col min="3" max="3" width="27.33203125" bestFit="1" customWidth="1"/>
    <col min="4" max="4" width="17.21875" bestFit="1" customWidth="1"/>
    <col min="5" max="5" width="13.44140625" bestFit="1" customWidth="1"/>
    <col min="6" max="6" width="12" bestFit="1" customWidth="1"/>
    <col min="7" max="7" width="13.21875" bestFit="1" customWidth="1"/>
    <col min="8" max="8" width="16.44140625" bestFit="1" customWidth="1"/>
    <col min="9" max="9" width="13.5546875" bestFit="1" customWidth="1"/>
    <col min="10" max="10" width="12.6640625" bestFit="1" customWidth="1"/>
    <col min="11" max="11" width="14.88671875" customWidth="1"/>
    <col min="12" max="12" width="17.6640625" bestFit="1" customWidth="1"/>
    <col min="13" max="13" width="13.109375" bestFit="1" customWidth="1"/>
  </cols>
  <sheetData>
    <row r="5" spans="3:11" ht="25.8" x14ac:dyDescent="0.5">
      <c r="C5" s="37" t="s">
        <v>435</v>
      </c>
      <c r="D5" s="37"/>
      <c r="G5" s="31" t="s">
        <v>440</v>
      </c>
      <c r="H5" s="32"/>
      <c r="I5" s="32"/>
      <c r="J5" s="32"/>
      <c r="K5" s="33"/>
    </row>
    <row r="6" spans="3:11" x14ac:dyDescent="0.3">
      <c r="C6" s="17" t="s">
        <v>431</v>
      </c>
      <c r="D6" s="18" t="s">
        <v>108</v>
      </c>
      <c r="G6" s="10"/>
      <c r="H6" s="10"/>
      <c r="I6" s="17" t="s">
        <v>442</v>
      </c>
      <c r="J6" s="17" t="s">
        <v>436</v>
      </c>
      <c r="K6" s="17" t="s">
        <v>437</v>
      </c>
    </row>
    <row r="7" spans="3:11" x14ac:dyDescent="0.3">
      <c r="C7" s="17" t="s">
        <v>430</v>
      </c>
      <c r="D7" s="18" t="str">
        <f>IFERROR(INDEX(data[Product_Name],MATCH($D$6,data[Product_ID],0)),"Invalid Input")</f>
        <v>Smartphone</v>
      </c>
      <c r="G7" s="10"/>
      <c r="H7" s="10"/>
      <c r="I7" s="10"/>
      <c r="J7" s="15" t="s">
        <v>438</v>
      </c>
      <c r="K7" s="15" t="s">
        <v>439</v>
      </c>
    </row>
    <row r="8" spans="3:11" x14ac:dyDescent="0.3">
      <c r="C8" s="17" t="s">
        <v>432</v>
      </c>
      <c r="D8" s="18">
        <v>699.99</v>
      </c>
      <c r="G8" s="17" t="s">
        <v>441</v>
      </c>
      <c r="H8" s="10"/>
      <c r="I8" s="10"/>
      <c r="J8" s="10"/>
      <c r="K8" s="10"/>
    </row>
    <row r="9" spans="3:11" x14ac:dyDescent="0.3">
      <c r="C9" s="17" t="s">
        <v>433</v>
      </c>
      <c r="D9" s="18">
        <v>71.429591851312168</v>
      </c>
      <c r="G9" s="10"/>
      <c r="H9" s="17" t="s">
        <v>444</v>
      </c>
      <c r="I9" s="18">
        <v>699.99</v>
      </c>
      <c r="J9" s="18">
        <v>699.99</v>
      </c>
      <c r="K9" s="18">
        <v>299</v>
      </c>
    </row>
    <row r="10" spans="3:11" x14ac:dyDescent="0.3">
      <c r="C10" s="17" t="s">
        <v>434</v>
      </c>
      <c r="D10" s="18">
        <f>D8*D9</f>
        <v>50000.000000000007</v>
      </c>
      <c r="G10" s="17" t="s">
        <v>443</v>
      </c>
      <c r="H10" s="10"/>
      <c r="I10" s="10"/>
      <c r="J10" s="10"/>
      <c r="K10" s="10"/>
    </row>
    <row r="11" spans="3:11" x14ac:dyDescent="0.3">
      <c r="G11" s="10"/>
      <c r="H11" s="17" t="s">
        <v>445</v>
      </c>
      <c r="I11" s="18">
        <v>50000</v>
      </c>
      <c r="J11" s="18">
        <v>50000</v>
      </c>
      <c r="K11" s="18">
        <v>21357.447963542301</v>
      </c>
    </row>
    <row r="13" spans="3:11" ht="14.4" customHeight="1" x14ac:dyDescent="0.3">
      <c r="C13" s="25" t="s">
        <v>2</v>
      </c>
      <c r="D13" s="26"/>
      <c r="E13" s="26"/>
      <c r="F13" s="26"/>
      <c r="G13" s="26"/>
      <c r="H13" s="26"/>
      <c r="I13" s="26"/>
      <c r="J13" s="26"/>
      <c r="K13" s="34"/>
    </row>
    <row r="14" spans="3:11" ht="14.4" customHeight="1" x14ac:dyDescent="0.3">
      <c r="C14" s="29"/>
      <c r="D14" s="30"/>
      <c r="E14" s="30"/>
      <c r="F14" s="30"/>
      <c r="G14" s="30"/>
      <c r="H14" s="30"/>
      <c r="I14" s="30"/>
      <c r="J14" s="30"/>
      <c r="K14" s="35"/>
    </row>
    <row r="15" spans="3:11" ht="14.4" customHeight="1" x14ac:dyDescent="0.3">
      <c r="C15" s="27"/>
      <c r="D15" s="28"/>
      <c r="E15" s="28"/>
      <c r="F15" s="28"/>
      <c r="G15" s="28"/>
      <c r="H15" s="28"/>
      <c r="I15" s="28"/>
      <c r="J15" s="28"/>
      <c r="K15" s="36"/>
    </row>
    <row r="16" spans="3:11" x14ac:dyDescent="0.3">
      <c r="C16" s="17" t="s">
        <v>3</v>
      </c>
      <c r="D16" s="18">
        <v>2.299058705907869E-2</v>
      </c>
      <c r="E16" s="10"/>
      <c r="F16" s="10"/>
      <c r="G16" s="10"/>
      <c r="H16" s="10"/>
      <c r="I16" s="10"/>
      <c r="J16" s="10"/>
      <c r="K16" s="10"/>
    </row>
    <row r="17" spans="3:11" x14ac:dyDescent="0.3">
      <c r="C17" s="17" t="s">
        <v>4</v>
      </c>
      <c r="D17" s="18">
        <v>5.2856709332107653E-4</v>
      </c>
      <c r="E17" s="10"/>
      <c r="F17" s="10"/>
      <c r="G17" s="10"/>
      <c r="H17" s="10"/>
      <c r="I17" s="10"/>
      <c r="J17" s="10"/>
      <c r="K17" s="10"/>
    </row>
    <row r="18" spans="3:11" x14ac:dyDescent="0.3">
      <c r="C18" s="17" t="s">
        <v>5</v>
      </c>
      <c r="D18" s="18">
        <v>-3.5015596522703705E-3</v>
      </c>
      <c r="E18" s="10"/>
      <c r="F18" s="10"/>
      <c r="G18" s="10"/>
      <c r="H18" s="10"/>
      <c r="I18" s="10"/>
      <c r="J18" s="10"/>
      <c r="K18" s="10"/>
    </row>
    <row r="19" spans="3:11" x14ac:dyDescent="0.3">
      <c r="C19" s="17" t="s">
        <v>6</v>
      </c>
      <c r="D19" s="18">
        <v>1034.2591183362451</v>
      </c>
      <c r="E19" s="10"/>
      <c r="F19" s="10"/>
      <c r="G19" s="10"/>
      <c r="H19" s="10"/>
      <c r="I19" s="10"/>
      <c r="J19" s="10"/>
      <c r="K19" s="10"/>
    </row>
    <row r="20" spans="3:11" x14ac:dyDescent="0.3">
      <c r="C20" s="17" t="s">
        <v>7</v>
      </c>
      <c r="D20" s="18">
        <v>250</v>
      </c>
      <c r="E20" s="10"/>
      <c r="F20" s="10"/>
      <c r="G20" s="10"/>
      <c r="H20" s="10"/>
      <c r="I20" s="10"/>
      <c r="J20" s="10"/>
      <c r="K20" s="10"/>
    </row>
    <row r="21" spans="3:11" x14ac:dyDescent="0.3">
      <c r="C21" s="10"/>
      <c r="D21" s="10"/>
      <c r="E21" s="10"/>
      <c r="F21" s="10"/>
      <c r="G21" s="10"/>
      <c r="H21" s="10"/>
      <c r="I21" s="10"/>
      <c r="J21" s="10"/>
      <c r="K21" s="10"/>
    </row>
    <row r="22" spans="3:11" x14ac:dyDescent="0.3">
      <c r="C22" s="17" t="s">
        <v>8</v>
      </c>
      <c r="D22" s="10"/>
      <c r="E22" s="10"/>
      <c r="F22" s="10"/>
      <c r="G22" s="10"/>
      <c r="H22" s="10"/>
      <c r="I22" s="10"/>
      <c r="J22" s="10"/>
      <c r="K22" s="10"/>
    </row>
    <row r="23" spans="3:11" x14ac:dyDescent="0.3">
      <c r="C23" s="11"/>
      <c r="D23" s="19" t="s">
        <v>9</v>
      </c>
      <c r="E23" s="19" t="s">
        <v>10</v>
      </c>
      <c r="F23" s="19" t="s">
        <v>11</v>
      </c>
      <c r="G23" s="19" t="s">
        <v>12</v>
      </c>
      <c r="H23" s="19" t="s">
        <v>13</v>
      </c>
      <c r="I23" s="10"/>
      <c r="J23" s="10"/>
      <c r="K23" s="10"/>
    </row>
    <row r="24" spans="3:11" x14ac:dyDescent="0.3">
      <c r="C24" s="17" t="s">
        <v>14</v>
      </c>
      <c r="D24" s="18">
        <v>1</v>
      </c>
      <c r="E24" s="18">
        <v>140294.33480301499</v>
      </c>
      <c r="F24" s="18">
        <v>140294.33480301499</v>
      </c>
      <c r="G24" s="18">
        <v>0.13115396281252836</v>
      </c>
      <c r="H24" s="18">
        <v>0.71754696029164178</v>
      </c>
      <c r="I24" s="10"/>
      <c r="J24" s="10"/>
      <c r="K24" s="10"/>
    </row>
    <row r="25" spans="3:11" x14ac:dyDescent="0.3">
      <c r="C25" s="17" t="s">
        <v>15</v>
      </c>
      <c r="D25" s="18">
        <v>248</v>
      </c>
      <c r="E25" s="18">
        <v>265283597.11769345</v>
      </c>
      <c r="F25" s="18">
        <v>1069691.923861667</v>
      </c>
      <c r="G25" s="18"/>
      <c r="H25" s="18"/>
      <c r="I25" s="10"/>
      <c r="J25" s="10"/>
      <c r="K25" s="10"/>
    </row>
    <row r="26" spans="3:11" x14ac:dyDescent="0.3">
      <c r="C26" s="17" t="s">
        <v>16</v>
      </c>
      <c r="D26" s="18">
        <v>249</v>
      </c>
      <c r="E26" s="18">
        <v>265423891.45249647</v>
      </c>
      <c r="F26" s="18"/>
      <c r="G26" s="18"/>
      <c r="H26" s="18"/>
      <c r="I26" s="10"/>
      <c r="J26" s="10"/>
      <c r="K26" s="10"/>
    </row>
    <row r="27" spans="3:11" x14ac:dyDescent="0.3">
      <c r="C27" s="10"/>
      <c r="D27" s="10"/>
      <c r="E27" s="10"/>
      <c r="F27" s="10"/>
      <c r="G27" s="10"/>
      <c r="H27" s="10"/>
      <c r="I27" s="10"/>
      <c r="J27" s="10"/>
      <c r="K27" s="10"/>
    </row>
    <row r="28" spans="3:11" x14ac:dyDescent="0.3">
      <c r="C28" s="11"/>
      <c r="D28" s="19" t="s">
        <v>17</v>
      </c>
      <c r="E28" s="19" t="s">
        <v>6</v>
      </c>
      <c r="F28" s="19" t="s">
        <v>18</v>
      </c>
      <c r="G28" s="19" t="s">
        <v>19</v>
      </c>
      <c r="H28" s="19" t="s">
        <v>20</v>
      </c>
      <c r="I28" s="19" t="s">
        <v>21</v>
      </c>
      <c r="J28" s="19" t="s">
        <v>22</v>
      </c>
      <c r="K28" s="19" t="s">
        <v>23</v>
      </c>
    </row>
    <row r="29" spans="3:11" x14ac:dyDescent="0.3">
      <c r="C29" s="17" t="s">
        <v>24</v>
      </c>
      <c r="D29" s="18">
        <v>1020.0575549815347</v>
      </c>
      <c r="E29" s="18">
        <v>292.61050247488595</v>
      </c>
      <c r="F29" s="18">
        <v>3.4860592711264142</v>
      </c>
      <c r="G29" s="18">
        <v>5.795818668862065E-4</v>
      </c>
      <c r="H29" s="18">
        <v>443.73903331169902</v>
      </c>
      <c r="I29" s="18">
        <v>1596.3760766513706</v>
      </c>
      <c r="J29" s="18">
        <v>443.73903331169902</v>
      </c>
      <c r="K29" s="18">
        <v>1596.3760766513706</v>
      </c>
    </row>
    <row r="30" spans="3:11" x14ac:dyDescent="0.3">
      <c r="C30" s="17" t="s">
        <v>25</v>
      </c>
      <c r="D30" s="18">
        <v>-28.884463199708634</v>
      </c>
      <c r="E30" s="18">
        <v>79.757878251105538</v>
      </c>
      <c r="F30" s="18">
        <v>-0.36215185048892973</v>
      </c>
      <c r="G30" s="18">
        <v>0.71754696029161313</v>
      </c>
      <c r="H30" s="18">
        <v>-185.97363838796093</v>
      </c>
      <c r="I30" s="18">
        <v>128.20471198854364</v>
      </c>
      <c r="J30" s="18">
        <v>-185.97363838796093</v>
      </c>
      <c r="K30" s="18">
        <v>128.20471198854364</v>
      </c>
    </row>
    <row r="33" spans="3:6" x14ac:dyDescent="0.3">
      <c r="C33" s="17" t="s">
        <v>427</v>
      </c>
      <c r="D33" s="18" t="str">
        <f>INDEX(data[Product_Name],MATCH(MAX(data[Helper_col_prod_name]),data[Helper_col_prod_name],0))</f>
        <v>Bookshelf</v>
      </c>
    </row>
    <row r="34" spans="3:6" x14ac:dyDescent="0.3">
      <c r="C34" s="17" t="s">
        <v>479</v>
      </c>
      <c r="D34" s="18" t="str">
        <f>INDEX(data[Region],MATCH(MAX(data[Helper_col_region]),data[Helper_col_region],0))</f>
        <v>North</v>
      </c>
    </row>
    <row r="35" spans="3:6" x14ac:dyDescent="0.3">
      <c r="C35" s="17" t="s">
        <v>471</v>
      </c>
      <c r="D35" s="18" t="str">
        <f>INDEX(data[Payment_Method],MATCH(MAX(data[Helper_col_pmt]),data[Helper_col_pmt],0))</f>
        <v>Cash</v>
      </c>
    </row>
    <row r="37" spans="3:6" ht="14.4" customHeight="1" x14ac:dyDescent="0.3">
      <c r="C37" s="25" t="s">
        <v>448</v>
      </c>
      <c r="D37" s="26"/>
      <c r="E37" s="26"/>
      <c r="F37" s="26"/>
    </row>
    <row r="38" spans="3:6" ht="14.4" customHeight="1" x14ac:dyDescent="0.3">
      <c r="C38" s="29"/>
      <c r="D38" s="30"/>
      <c r="E38" s="30"/>
      <c r="F38" s="30"/>
    </row>
    <row r="39" spans="3:6" x14ac:dyDescent="0.3">
      <c r="C39" s="17" t="s">
        <v>446</v>
      </c>
      <c r="D39" s="17" t="s">
        <v>447</v>
      </c>
      <c r="E39" s="17"/>
      <c r="F39" s="17"/>
    </row>
    <row r="40" spans="3:6" x14ac:dyDescent="0.3">
      <c r="C40" s="17" t="s">
        <v>33</v>
      </c>
      <c r="D40" s="17" t="s">
        <v>50</v>
      </c>
      <c r="E40" s="17" t="s">
        <v>55</v>
      </c>
      <c r="F40" s="17" t="s">
        <v>64</v>
      </c>
    </row>
    <row r="41" spans="3:6" x14ac:dyDescent="0.3">
      <c r="C41" s="17" t="s">
        <v>61</v>
      </c>
      <c r="D41" s="18">
        <v>2819.6</v>
      </c>
      <c r="E41" s="18">
        <v>2179.67</v>
      </c>
      <c r="F41" s="18">
        <v>3339.4699999999993</v>
      </c>
    </row>
    <row r="42" spans="3:6" x14ac:dyDescent="0.3">
      <c r="C42" s="17" t="s">
        <v>47</v>
      </c>
      <c r="D42" s="18">
        <v>40109.060000000005</v>
      </c>
      <c r="E42" s="18">
        <v>66478.25</v>
      </c>
      <c r="F42" s="18">
        <v>65168.740000000005</v>
      </c>
    </row>
    <row r="43" spans="3:6" x14ac:dyDescent="0.3">
      <c r="C43" s="17" t="s">
        <v>74</v>
      </c>
      <c r="D43" s="18">
        <v>19249.150000000001</v>
      </c>
      <c r="E43" s="18">
        <v>15999.199999999995</v>
      </c>
      <c r="F43" s="18">
        <v>13849.33</v>
      </c>
    </row>
    <row r="44" spans="3:6" x14ac:dyDescent="0.3">
      <c r="C44" s="17" t="s">
        <v>481</v>
      </c>
      <c r="D44" s="18">
        <v>62177.810000000005</v>
      </c>
      <c r="E44" s="18">
        <v>84657.12</v>
      </c>
      <c r="F44" s="18">
        <v>82357.540000000008</v>
      </c>
    </row>
    <row r="52" spans="3:6" ht="14.4" customHeight="1" x14ac:dyDescent="0.3">
      <c r="C52" s="25" t="s">
        <v>463</v>
      </c>
      <c r="D52" s="26"/>
      <c r="E52" s="26"/>
      <c r="F52" s="26"/>
    </row>
    <row r="53" spans="3:6" ht="14.4" customHeight="1" x14ac:dyDescent="0.3">
      <c r="C53" s="29"/>
      <c r="D53" s="30"/>
      <c r="E53" s="30"/>
      <c r="F53" s="30"/>
    </row>
    <row r="54" spans="3:6" x14ac:dyDescent="0.3">
      <c r="C54" s="17" t="s">
        <v>446</v>
      </c>
      <c r="D54" s="17" t="s">
        <v>447</v>
      </c>
      <c r="E54" s="17"/>
      <c r="F54" s="17"/>
    </row>
    <row r="55" spans="3:6" x14ac:dyDescent="0.3">
      <c r="C55" s="17" t="s">
        <v>458</v>
      </c>
      <c r="D55" s="17" t="s">
        <v>61</v>
      </c>
      <c r="E55" s="17" t="s">
        <v>47</v>
      </c>
      <c r="F55" s="17" t="s">
        <v>74</v>
      </c>
    </row>
    <row r="56" spans="3:6" x14ac:dyDescent="0.3">
      <c r="C56" s="17" t="s">
        <v>449</v>
      </c>
      <c r="D56" s="18">
        <v>1019.83</v>
      </c>
      <c r="E56" s="18">
        <v>12949.759999999997</v>
      </c>
      <c r="F56" s="18">
        <v>2699.82</v>
      </c>
    </row>
    <row r="57" spans="3:6" x14ac:dyDescent="0.3">
      <c r="C57" s="17" t="s">
        <v>450</v>
      </c>
      <c r="D57" s="18">
        <v>1279.81</v>
      </c>
      <c r="E57" s="18">
        <v>25179.39</v>
      </c>
      <c r="F57" s="18">
        <v>6249.73</v>
      </c>
    </row>
    <row r="58" spans="3:6" x14ac:dyDescent="0.3">
      <c r="C58" s="17" t="s">
        <v>451</v>
      </c>
      <c r="D58" s="18">
        <v>1079.8399999999999</v>
      </c>
      <c r="E58" s="18">
        <v>15679.609999999997</v>
      </c>
      <c r="F58" s="18">
        <v>3849.83</v>
      </c>
    </row>
    <row r="59" spans="3:6" x14ac:dyDescent="0.3">
      <c r="C59" s="17" t="s">
        <v>452</v>
      </c>
      <c r="D59" s="18">
        <v>999.8599999999999</v>
      </c>
      <c r="E59" s="18">
        <v>19049.509999999995</v>
      </c>
      <c r="F59" s="18">
        <v>5549.74</v>
      </c>
    </row>
    <row r="60" spans="3:6" x14ac:dyDescent="0.3">
      <c r="C60" s="17" t="s">
        <v>453</v>
      </c>
      <c r="D60" s="18">
        <v>419.93</v>
      </c>
      <c r="E60" s="18">
        <v>26259.390000000007</v>
      </c>
      <c r="F60" s="18">
        <v>5799.75</v>
      </c>
    </row>
    <row r="61" spans="3:6" x14ac:dyDescent="0.3">
      <c r="C61" s="17" t="s">
        <v>454</v>
      </c>
      <c r="D61" s="18">
        <v>1099.8399999999999</v>
      </c>
      <c r="E61" s="18">
        <v>21789.539999999997</v>
      </c>
      <c r="F61" s="18">
        <v>5599.7100000000009</v>
      </c>
    </row>
    <row r="62" spans="3:6" x14ac:dyDescent="0.3">
      <c r="C62" s="17" t="s">
        <v>455</v>
      </c>
      <c r="D62" s="18">
        <v>619.9</v>
      </c>
      <c r="E62" s="18">
        <v>19419.499999999996</v>
      </c>
      <c r="F62" s="18">
        <v>8899.6200000000008</v>
      </c>
    </row>
    <row r="63" spans="3:6" x14ac:dyDescent="0.3">
      <c r="C63" s="17" t="s">
        <v>456</v>
      </c>
      <c r="D63" s="18">
        <v>1259.8</v>
      </c>
      <c r="E63" s="18">
        <v>18659.620000000003</v>
      </c>
      <c r="F63" s="18">
        <v>8199.5999999999985</v>
      </c>
    </row>
    <row r="64" spans="3:6" x14ac:dyDescent="0.3">
      <c r="C64" s="17" t="s">
        <v>457</v>
      </c>
      <c r="D64" s="18">
        <v>559.92999999999995</v>
      </c>
      <c r="E64" s="18">
        <v>12769.729999999996</v>
      </c>
      <c r="F64" s="18">
        <v>2249.88</v>
      </c>
    </row>
    <row r="69" spans="3:4" ht="14.4" customHeight="1" x14ac:dyDescent="0.3">
      <c r="C69" s="25" t="s">
        <v>462</v>
      </c>
      <c r="D69" s="26"/>
    </row>
    <row r="70" spans="3:4" ht="14.4" customHeight="1" x14ac:dyDescent="0.3">
      <c r="C70" s="29"/>
      <c r="D70" s="30"/>
    </row>
    <row r="71" spans="3:4" x14ac:dyDescent="0.3">
      <c r="C71" s="17" t="s">
        <v>461</v>
      </c>
      <c r="D71" s="17" t="s">
        <v>460</v>
      </c>
    </row>
    <row r="72" spans="3:4" x14ac:dyDescent="0.3">
      <c r="C72" s="17" t="s">
        <v>48</v>
      </c>
      <c r="D72" s="18">
        <v>76</v>
      </c>
    </row>
    <row r="73" spans="3:4" x14ac:dyDescent="0.3">
      <c r="C73" s="17" t="s">
        <v>54</v>
      </c>
      <c r="D73" s="18">
        <v>68</v>
      </c>
    </row>
    <row r="74" spans="3:4" x14ac:dyDescent="0.3">
      <c r="C74" s="17" t="s">
        <v>85</v>
      </c>
      <c r="D74" s="18">
        <v>54</v>
      </c>
    </row>
    <row r="75" spans="3:4" x14ac:dyDescent="0.3">
      <c r="C75" s="17" t="s">
        <v>62</v>
      </c>
      <c r="D75" s="18">
        <v>52</v>
      </c>
    </row>
    <row r="87" spans="3:13" ht="14.4" customHeight="1" x14ac:dyDescent="0.3">
      <c r="C87" s="25" t="s">
        <v>465</v>
      </c>
      <c r="D87" s="26"/>
      <c r="L87" s="25" t="s">
        <v>478</v>
      </c>
      <c r="M87" s="26"/>
    </row>
    <row r="88" spans="3:13" ht="14.4" customHeight="1" x14ac:dyDescent="0.3">
      <c r="C88" s="29"/>
      <c r="D88" s="30"/>
      <c r="L88" s="29"/>
      <c r="M88" s="30"/>
    </row>
    <row r="89" spans="3:13" x14ac:dyDescent="0.3">
      <c r="C89" s="17" t="s">
        <v>430</v>
      </c>
      <c r="D89" s="17" t="s">
        <v>464</v>
      </c>
      <c r="L89" s="17" t="s">
        <v>430</v>
      </c>
      <c r="M89" s="17" t="s">
        <v>467</v>
      </c>
    </row>
    <row r="90" spans="3:13" x14ac:dyDescent="0.3">
      <c r="C90" s="17" t="s">
        <v>60</v>
      </c>
      <c r="D90" s="18">
        <v>87</v>
      </c>
      <c r="L90" s="17" t="s">
        <v>90</v>
      </c>
      <c r="M90" s="18">
        <v>67499.25</v>
      </c>
    </row>
    <row r="91" spans="3:13" x14ac:dyDescent="0.3">
      <c r="C91" s="17" t="s">
        <v>73</v>
      </c>
      <c r="D91" s="18">
        <v>102</v>
      </c>
      <c r="L91" s="17" t="s">
        <v>109</v>
      </c>
      <c r="M91" s="18">
        <v>67199.039999999994</v>
      </c>
    </row>
    <row r="92" spans="3:13" x14ac:dyDescent="0.3">
      <c r="C92" s="17" t="s">
        <v>143</v>
      </c>
      <c r="D92" s="18">
        <v>39</v>
      </c>
      <c r="L92" s="17" t="s">
        <v>134</v>
      </c>
      <c r="M92" s="18">
        <v>23399.22</v>
      </c>
    </row>
    <row r="93" spans="3:13" x14ac:dyDescent="0.3">
      <c r="C93" s="17" t="s">
        <v>134</v>
      </c>
      <c r="D93" s="18">
        <v>78</v>
      </c>
      <c r="L93" s="17" t="s">
        <v>46</v>
      </c>
      <c r="M93" s="18">
        <v>21999.119999999999</v>
      </c>
    </row>
    <row r="94" spans="3:13" x14ac:dyDescent="0.3">
      <c r="C94" s="17" t="s">
        <v>81</v>
      </c>
      <c r="D94" s="18">
        <v>47</v>
      </c>
      <c r="L94" s="17" t="s">
        <v>73</v>
      </c>
      <c r="M94" s="18">
        <v>15298.979999999994</v>
      </c>
    </row>
    <row r="95" spans="3:13" x14ac:dyDescent="0.3">
      <c r="C95" s="17" t="s">
        <v>146</v>
      </c>
      <c r="D95" s="18">
        <v>89</v>
      </c>
      <c r="L95" s="17" t="s">
        <v>155</v>
      </c>
      <c r="M95" s="18">
        <v>10399.479999999998</v>
      </c>
    </row>
    <row r="96" spans="3:13" x14ac:dyDescent="0.3">
      <c r="C96" s="17" t="s">
        <v>90</v>
      </c>
      <c r="D96" s="18">
        <v>75</v>
      </c>
      <c r="L96" s="17" t="s">
        <v>146</v>
      </c>
      <c r="M96" s="18">
        <v>8009.1099999999969</v>
      </c>
    </row>
    <row r="97" spans="3:13" x14ac:dyDescent="0.3">
      <c r="C97" s="17" t="s">
        <v>46</v>
      </c>
      <c r="D97" s="18">
        <v>88</v>
      </c>
      <c r="L97" s="17" t="s">
        <v>81</v>
      </c>
      <c r="M97" s="18">
        <v>7049.5299999999988</v>
      </c>
    </row>
    <row r="98" spans="3:13" x14ac:dyDescent="0.3">
      <c r="C98" s="17" t="s">
        <v>155</v>
      </c>
      <c r="D98" s="18">
        <v>52</v>
      </c>
      <c r="L98" s="17" t="s">
        <v>60</v>
      </c>
      <c r="M98" s="18">
        <v>5219.1299999999974</v>
      </c>
    </row>
    <row r="99" spans="3:13" x14ac:dyDescent="0.3">
      <c r="C99" s="17" t="s">
        <v>109</v>
      </c>
      <c r="D99" s="18">
        <v>96</v>
      </c>
      <c r="L99" s="17" t="s">
        <v>143</v>
      </c>
      <c r="M99" s="18">
        <v>3119.6099999999992</v>
      </c>
    </row>
    <row r="104" spans="3:13" ht="14.4" customHeight="1" x14ac:dyDescent="0.3">
      <c r="C104" s="25" t="s">
        <v>466</v>
      </c>
      <c r="D104" s="26"/>
      <c r="E104" s="26"/>
      <c r="F104" s="26"/>
    </row>
    <row r="105" spans="3:13" ht="14.4" customHeight="1" x14ac:dyDescent="0.3">
      <c r="C105" s="27"/>
      <c r="D105" s="28"/>
      <c r="E105" s="28"/>
      <c r="F105" s="28"/>
    </row>
    <row r="106" spans="3:13" x14ac:dyDescent="0.3">
      <c r="C106" s="17" t="s">
        <v>459</v>
      </c>
      <c r="D106" s="17" t="s">
        <v>447</v>
      </c>
      <c r="E106" s="17"/>
      <c r="F106" s="17"/>
    </row>
    <row r="107" spans="3:13" x14ac:dyDescent="0.3">
      <c r="C107" s="17" t="s">
        <v>430</v>
      </c>
      <c r="D107" s="17" t="s">
        <v>50</v>
      </c>
      <c r="E107" s="17" t="s">
        <v>55</v>
      </c>
      <c r="F107" s="17" t="s">
        <v>64</v>
      </c>
    </row>
    <row r="108" spans="3:13" x14ac:dyDescent="0.3">
      <c r="C108" s="17" t="s">
        <v>49</v>
      </c>
      <c r="D108" s="18">
        <v>18</v>
      </c>
      <c r="E108" s="18">
        <v>22</v>
      </c>
      <c r="F108" s="18">
        <v>14</v>
      </c>
    </row>
    <row r="109" spans="3:13" x14ac:dyDescent="0.3">
      <c r="C109" s="17" t="s">
        <v>91</v>
      </c>
      <c r="D109" s="18">
        <v>10</v>
      </c>
      <c r="E109" s="18">
        <v>16</v>
      </c>
      <c r="F109" s="18">
        <v>22</v>
      </c>
    </row>
    <row r="110" spans="3:13" x14ac:dyDescent="0.3">
      <c r="C110" s="17" t="s">
        <v>68</v>
      </c>
      <c r="D110" s="18">
        <v>16</v>
      </c>
      <c r="E110" s="18">
        <v>29</v>
      </c>
      <c r="F110" s="18">
        <v>14</v>
      </c>
    </row>
    <row r="111" spans="3:13" x14ac:dyDescent="0.3">
      <c r="C111" s="17" t="s">
        <v>63</v>
      </c>
      <c r="D111" s="18">
        <v>16</v>
      </c>
      <c r="E111" s="18">
        <v>10</v>
      </c>
      <c r="F111" s="18">
        <v>16</v>
      </c>
    </row>
    <row r="112" spans="3:13" x14ac:dyDescent="0.3">
      <c r="C112" s="17" t="s">
        <v>78</v>
      </c>
      <c r="D112" s="18">
        <v>14</v>
      </c>
      <c r="E112" s="18">
        <v>18</v>
      </c>
      <c r="F112" s="18">
        <v>15</v>
      </c>
    </row>
    <row r="122" spans="3:13" ht="14.4" customHeight="1" x14ac:dyDescent="0.3">
      <c r="C122" s="25" t="s">
        <v>468</v>
      </c>
      <c r="D122" s="26"/>
      <c r="L122" s="25" t="s">
        <v>477</v>
      </c>
      <c r="M122" s="26"/>
    </row>
    <row r="123" spans="3:13" ht="14.4" customHeight="1" x14ac:dyDescent="0.3">
      <c r="C123" s="27"/>
      <c r="D123" s="28"/>
      <c r="L123" s="27"/>
      <c r="M123" s="28"/>
    </row>
    <row r="124" spans="3:13" x14ac:dyDescent="0.3">
      <c r="C124" s="17" t="s">
        <v>33</v>
      </c>
      <c r="D124" s="17" t="s">
        <v>467</v>
      </c>
      <c r="L124" s="23" t="s">
        <v>477</v>
      </c>
      <c r="M124" s="21" t="s">
        <v>467</v>
      </c>
    </row>
    <row r="125" spans="3:13" x14ac:dyDescent="0.3">
      <c r="C125" s="17" t="s">
        <v>61</v>
      </c>
      <c r="D125" s="18">
        <v>8338.7399999999961</v>
      </c>
      <c r="L125" s="24" t="s">
        <v>91</v>
      </c>
      <c r="M125" s="22">
        <v>59288.389999999992</v>
      </c>
    </row>
    <row r="126" spans="3:13" x14ac:dyDescent="0.3">
      <c r="C126" s="17" t="s">
        <v>47</v>
      </c>
      <c r="D126" s="18">
        <v>171756.05000000013</v>
      </c>
      <c r="L126" s="24" t="s">
        <v>68</v>
      </c>
      <c r="M126" s="22">
        <v>50808.310000000012</v>
      </c>
    </row>
    <row r="127" spans="3:13" x14ac:dyDescent="0.3">
      <c r="C127" s="17" t="s">
        <v>74</v>
      </c>
      <c r="D127" s="18">
        <v>49097.680000000015</v>
      </c>
      <c r="L127" s="24" t="s">
        <v>78</v>
      </c>
      <c r="M127" s="22">
        <v>41408.680000000015</v>
      </c>
    </row>
    <row r="128" spans="3:13" x14ac:dyDescent="0.3">
      <c r="L128" s="24" t="s">
        <v>49</v>
      </c>
      <c r="M128" s="22">
        <v>41288.340000000018</v>
      </c>
    </row>
    <row r="129" spans="3:13" x14ac:dyDescent="0.3">
      <c r="L129" s="24" t="s">
        <v>63</v>
      </c>
      <c r="M129" s="22">
        <v>36398.750000000007</v>
      </c>
    </row>
    <row r="139" spans="3:13" ht="14.4" customHeight="1" x14ac:dyDescent="0.3">
      <c r="C139" s="25" t="s">
        <v>469</v>
      </c>
      <c r="D139" s="26"/>
    </row>
    <row r="140" spans="3:13" ht="14.4" customHeight="1" x14ac:dyDescent="0.3">
      <c r="C140" s="27"/>
      <c r="D140" s="28"/>
    </row>
    <row r="141" spans="3:13" x14ac:dyDescent="0.3">
      <c r="C141" s="17" t="s">
        <v>446</v>
      </c>
      <c r="D141" s="20">
        <f>SUM(data[Total_Amount])</f>
        <v>229192.47000000032</v>
      </c>
    </row>
    <row r="142" spans="3:13" x14ac:dyDescent="0.3">
      <c r="C142" s="17" t="s">
        <v>470</v>
      </c>
      <c r="D142" s="18">
        <f>SUM(data[Quantity])</f>
        <v>753</v>
      </c>
    </row>
    <row r="143" spans="3:13" x14ac:dyDescent="0.3">
      <c r="C143" s="17" t="s">
        <v>474</v>
      </c>
      <c r="D143" s="18" t="str">
        <f>INDEX(data[Payment_Method],MATCH(MAX(data[Helper_col_pmt]),data[Helper_col_pmt],0))</f>
        <v>Cash</v>
      </c>
    </row>
    <row r="144" spans="3:13" x14ac:dyDescent="0.3">
      <c r="C144" s="17" t="s">
        <v>475</v>
      </c>
      <c r="D144" s="18" t="str">
        <f>L125</f>
        <v>East</v>
      </c>
    </row>
    <row r="145" spans="3:4" x14ac:dyDescent="0.3">
      <c r="C145" s="17" t="s">
        <v>480</v>
      </c>
      <c r="D145" s="18" t="str">
        <f>D34</f>
        <v>North</v>
      </c>
    </row>
    <row r="146" spans="3:4" x14ac:dyDescent="0.3">
      <c r="C146" s="17" t="s">
        <v>482</v>
      </c>
      <c r="D146" s="18" t="s">
        <v>55</v>
      </c>
    </row>
    <row r="147" spans="3:4" x14ac:dyDescent="0.3">
      <c r="C147" s="17" t="s">
        <v>483</v>
      </c>
      <c r="D147" s="18">
        <f>AVERAGE(data[Total_Amount])</f>
        <v>916.76988000000131</v>
      </c>
    </row>
  </sheetData>
  <scenarios current="0" show="0" sqref="B6">
    <scenario name="Current_Price" locked="1" count="1" user="Lenovo" comment="Current price">
      <inputCells r="F39" val="699.99"/>
    </scenario>
    <scenario name="Festive_Discount" locked="1" count="1" user="Lenovo" comment="Festive discount">
      <inputCells r="F39" val="299"/>
    </scenario>
  </scenarios>
  <mergeCells count="12">
    <mergeCell ref="G5:K5"/>
    <mergeCell ref="C37:F38"/>
    <mergeCell ref="C52:F53"/>
    <mergeCell ref="C69:D70"/>
    <mergeCell ref="C87:D88"/>
    <mergeCell ref="C13:K15"/>
    <mergeCell ref="C5:D5"/>
    <mergeCell ref="L122:M123"/>
    <mergeCell ref="L87:M88"/>
    <mergeCell ref="C104:F105"/>
    <mergeCell ref="C122:D123"/>
    <mergeCell ref="C139:D140"/>
  </mergeCells>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3"/>
  <sheetViews>
    <sheetView workbookViewId="0"/>
  </sheetViews>
  <sheetFormatPr defaultColWidth="14.44140625" defaultRowHeight="15" customHeight="1" x14ac:dyDescent="0.3"/>
  <cols>
    <col min="1" max="1" width="8.88671875" style="16"/>
    <col min="2" max="2" width="15.44140625" customWidth="1"/>
    <col min="3" max="3" width="10.88671875" customWidth="1"/>
    <col min="4" max="5" width="13.6640625" customWidth="1"/>
    <col min="6" max="6" width="17" customWidth="1"/>
    <col min="7" max="7" width="12.33203125" customWidth="1"/>
    <col min="8" max="8" width="15.5546875" customWidth="1"/>
    <col min="9" max="9" width="10.44140625" customWidth="1"/>
    <col min="10" max="10" width="10.33203125" customWidth="1"/>
    <col min="11" max="11" width="11.5546875" customWidth="1"/>
    <col min="12" max="12" width="18.33203125" customWidth="1"/>
    <col min="13" max="13" width="8.6640625" customWidth="1"/>
    <col min="14" max="14" width="19.44140625" customWidth="1"/>
    <col min="15" max="15" width="16.44140625" customWidth="1"/>
    <col min="16" max="16" width="15" customWidth="1"/>
    <col min="17" max="17" width="15.6640625" bestFit="1" customWidth="1"/>
    <col min="18" max="18" width="24" bestFit="1" customWidth="1"/>
    <col min="19" max="21" width="8.6640625" customWidth="1"/>
    <col min="22" max="22" width="16" bestFit="1" customWidth="1"/>
    <col min="23" max="25" width="8.6640625" customWidth="1"/>
    <col min="26" max="26" width="9.109375" bestFit="1" customWidth="1"/>
    <col min="27" max="28" width="8.6640625" customWidth="1"/>
  </cols>
  <sheetData>
    <row r="1" spans="2:28" ht="14.4" x14ac:dyDescent="0.3"/>
    <row r="2" spans="2:28" ht="14.4" x14ac:dyDescent="0.3"/>
    <row r="3" spans="2:28" ht="14.4" x14ac:dyDescent="0.3"/>
    <row r="4" spans="2:28" ht="14.4" x14ac:dyDescent="0.3">
      <c r="B4" s="3" t="s">
        <v>26</v>
      </c>
      <c r="C4" s="3" t="s">
        <v>27</v>
      </c>
      <c r="D4" s="3" t="s">
        <v>28</v>
      </c>
      <c r="E4" s="12" t="s">
        <v>29</v>
      </c>
      <c r="F4" s="3" t="s">
        <v>30</v>
      </c>
      <c r="G4" s="3" t="s">
        <v>31</v>
      </c>
      <c r="H4" s="3" t="s">
        <v>32</v>
      </c>
      <c r="I4" s="3" t="s">
        <v>33</v>
      </c>
      <c r="J4" s="3" t="s">
        <v>34</v>
      </c>
      <c r="K4" s="3" t="s">
        <v>35</v>
      </c>
      <c r="L4" s="3" t="s">
        <v>36</v>
      </c>
      <c r="M4" s="3" t="s">
        <v>37</v>
      </c>
      <c r="N4" s="3" t="s">
        <v>38</v>
      </c>
      <c r="O4" s="3" t="s">
        <v>39</v>
      </c>
      <c r="P4" s="3" t="s">
        <v>40</v>
      </c>
      <c r="Q4" s="3" t="s">
        <v>41</v>
      </c>
      <c r="R4" s="3" t="s">
        <v>429</v>
      </c>
      <c r="S4" s="3" t="s">
        <v>473</v>
      </c>
      <c r="T4" s="3" t="s">
        <v>472</v>
      </c>
      <c r="U4" s="3" t="s">
        <v>476</v>
      </c>
      <c r="V4" s="13" t="s">
        <v>428</v>
      </c>
      <c r="W4" s="3"/>
      <c r="X4" s="3"/>
      <c r="Y4" s="3"/>
      <c r="Z4" s="3"/>
      <c r="AA4" s="3"/>
      <c r="AB4" s="3"/>
    </row>
    <row r="5" spans="2:28" ht="14.4" x14ac:dyDescent="0.3">
      <c r="B5" s="4" t="s">
        <v>42</v>
      </c>
      <c r="C5" s="9">
        <v>45600</v>
      </c>
      <c r="D5" s="4" t="s">
        <v>43</v>
      </c>
      <c r="E5" s="4" t="str">
        <f>RIGHT(data[[#This Row],[Customer_ID]],3)</f>
        <v>023</v>
      </c>
      <c r="F5" s="4" t="s">
        <v>44</v>
      </c>
      <c r="G5" s="4" t="s">
        <v>45</v>
      </c>
      <c r="H5" s="4" t="s">
        <v>46</v>
      </c>
      <c r="I5" s="4" t="s">
        <v>47</v>
      </c>
      <c r="J5" s="4">
        <v>3</v>
      </c>
      <c r="K5" s="4">
        <v>249.99</v>
      </c>
      <c r="L5" s="4" t="s">
        <v>48</v>
      </c>
      <c r="M5" s="4" t="s">
        <v>49</v>
      </c>
      <c r="N5" s="4" t="s">
        <v>50</v>
      </c>
      <c r="O5" s="5">
        <v>44425</v>
      </c>
      <c r="P5" s="4">
        <v>749.97</v>
      </c>
      <c r="Q5" s="8">
        <f t="shared" ref="Q5:Q68" ca="1" si="0">NOW()</f>
        <v>46173.713128356481</v>
      </c>
      <c r="R5" s="7">
        <f ca="1">DATEDIF(data[[#This Row],[Customer_Since]],data[[#This Row],[Timestamp]],"M")</f>
        <v>57</v>
      </c>
      <c r="S5">
        <f>COUNTIF($H$5:H5,H5)</f>
        <v>1</v>
      </c>
      <c r="T5">
        <f>COUNTIF($L$5:L5,L5)</f>
        <v>1</v>
      </c>
      <c r="U5">
        <f>COUNTIF($M$5:M5,M5)</f>
        <v>1</v>
      </c>
      <c r="V5" s="14">
        <f>EOMONTH(data[[#This Row],[Date]],0)</f>
        <v>45626</v>
      </c>
    </row>
    <row r="6" spans="2:28" ht="14.4" x14ac:dyDescent="0.3">
      <c r="B6" s="4" t="s">
        <v>51</v>
      </c>
      <c r="C6" s="9">
        <v>45394</v>
      </c>
      <c r="D6" s="4" t="s">
        <v>52</v>
      </c>
      <c r="E6" s="4" t="str">
        <f>RIGHT(data[[#This Row],[Customer_ID]],3)</f>
        <v>013</v>
      </c>
      <c r="F6" s="4" t="s">
        <v>53</v>
      </c>
      <c r="G6" s="4" t="s">
        <v>45</v>
      </c>
      <c r="H6" s="4" t="s">
        <v>46</v>
      </c>
      <c r="I6" s="4" t="s">
        <v>47</v>
      </c>
      <c r="J6" s="4">
        <v>3</v>
      </c>
      <c r="K6" s="4">
        <v>249.99</v>
      </c>
      <c r="L6" s="4" t="s">
        <v>54</v>
      </c>
      <c r="M6" s="4" t="s">
        <v>49</v>
      </c>
      <c r="N6" s="4" t="s">
        <v>55</v>
      </c>
      <c r="O6" s="5">
        <v>44575</v>
      </c>
      <c r="P6" s="4">
        <v>749.97</v>
      </c>
      <c r="Q6" s="8">
        <f t="shared" ca="1" si="0"/>
        <v>46173.713128356481</v>
      </c>
      <c r="R6" s="7">
        <f ca="1">DATEDIF(data[[#This Row],[Customer_Since]],data[[#This Row],[Timestamp]],"M")</f>
        <v>52</v>
      </c>
      <c r="S6">
        <f>COUNTIF($H$5:H6,H6)</f>
        <v>2</v>
      </c>
      <c r="T6">
        <f>COUNTIF($L$5:L6,L6)</f>
        <v>1</v>
      </c>
      <c r="U6">
        <f>COUNTIF($M$5:M6,M6)</f>
        <v>2</v>
      </c>
      <c r="V6" s="14">
        <f>EOMONTH(data[[#This Row],[Date]],0)</f>
        <v>45412</v>
      </c>
    </row>
    <row r="7" spans="2:28" ht="14.4" x14ac:dyDescent="0.3">
      <c r="B7" s="4" t="s">
        <v>56</v>
      </c>
      <c r="C7" s="9">
        <v>45395</v>
      </c>
      <c r="D7" s="4" t="s">
        <v>57</v>
      </c>
      <c r="E7" s="4" t="str">
        <f>RIGHT(data[[#This Row],[Customer_ID]],3)</f>
        <v>021</v>
      </c>
      <c r="F7" s="4" t="s">
        <v>58</v>
      </c>
      <c r="G7" s="4" t="s">
        <v>59</v>
      </c>
      <c r="H7" s="4" t="s">
        <v>60</v>
      </c>
      <c r="I7" s="4" t="s">
        <v>61</v>
      </c>
      <c r="J7" s="4">
        <v>3</v>
      </c>
      <c r="K7" s="4">
        <v>59.99</v>
      </c>
      <c r="L7" s="4" t="s">
        <v>62</v>
      </c>
      <c r="M7" s="4" t="s">
        <v>63</v>
      </c>
      <c r="N7" s="4" t="s">
        <v>64</v>
      </c>
      <c r="O7" s="5">
        <v>45262</v>
      </c>
      <c r="P7" s="4">
        <v>179.97</v>
      </c>
      <c r="Q7" s="8">
        <f t="shared" ca="1" si="0"/>
        <v>46173.713128356481</v>
      </c>
      <c r="R7" s="7">
        <f ca="1">DATEDIF(data[[#This Row],[Customer_Since]],data[[#This Row],[Timestamp]],"M")</f>
        <v>29</v>
      </c>
      <c r="S7">
        <f>COUNTIF($H$5:H7,H7)</f>
        <v>1</v>
      </c>
      <c r="T7">
        <f>COUNTIF($L$5:L7,L7)</f>
        <v>1</v>
      </c>
      <c r="U7">
        <f>COUNTIF($M$5:M7,M7)</f>
        <v>1</v>
      </c>
      <c r="V7" s="14">
        <f>EOMONTH(data[[#This Row],[Date]],0)</f>
        <v>45412</v>
      </c>
    </row>
    <row r="8" spans="2:28" ht="14.4" x14ac:dyDescent="0.3">
      <c r="B8" s="4" t="s">
        <v>65</v>
      </c>
      <c r="C8" s="9">
        <v>45396</v>
      </c>
      <c r="D8" s="4" t="s">
        <v>66</v>
      </c>
      <c r="E8" s="4" t="str">
        <f>RIGHT(data[[#This Row],[Customer_ID]],3)</f>
        <v>046</v>
      </c>
      <c r="F8" s="4" t="s">
        <v>67</v>
      </c>
      <c r="G8" s="4" t="s">
        <v>59</v>
      </c>
      <c r="H8" s="4" t="s">
        <v>60</v>
      </c>
      <c r="I8" s="4" t="s">
        <v>61</v>
      </c>
      <c r="J8" s="4">
        <v>3</v>
      </c>
      <c r="K8" s="4">
        <v>59.99</v>
      </c>
      <c r="L8" s="4" t="s">
        <v>48</v>
      </c>
      <c r="M8" s="4" t="s">
        <v>68</v>
      </c>
      <c r="N8" s="4" t="s">
        <v>55</v>
      </c>
      <c r="O8" s="5">
        <v>45114</v>
      </c>
      <c r="P8" s="4">
        <v>179.97</v>
      </c>
      <c r="Q8" s="8">
        <f t="shared" ca="1" si="0"/>
        <v>46173.713128356481</v>
      </c>
      <c r="R8" s="7">
        <f ca="1">DATEDIF(data[[#This Row],[Customer_Since]],data[[#This Row],[Timestamp]],"M")</f>
        <v>34</v>
      </c>
      <c r="S8">
        <f>COUNTIF($H$5:H8,H8)</f>
        <v>2</v>
      </c>
      <c r="T8">
        <f>COUNTIF($L$5:L8,L8)</f>
        <v>2</v>
      </c>
      <c r="U8">
        <f>COUNTIF($M$5:M8,M8)</f>
        <v>1</v>
      </c>
      <c r="V8" s="14">
        <f>EOMONTH(data[[#This Row],[Date]],0)</f>
        <v>45412</v>
      </c>
    </row>
    <row r="9" spans="2:28" ht="14.4" x14ac:dyDescent="0.3">
      <c r="B9" s="4" t="s">
        <v>69</v>
      </c>
      <c r="C9" s="9">
        <v>45397</v>
      </c>
      <c r="D9" s="4" t="s">
        <v>70</v>
      </c>
      <c r="E9" s="4" t="str">
        <f>RIGHT(data[[#This Row],[Customer_ID]],3)</f>
        <v>003</v>
      </c>
      <c r="F9" s="4" t="s">
        <v>71</v>
      </c>
      <c r="G9" s="4" t="s">
        <v>72</v>
      </c>
      <c r="H9" s="4" t="s">
        <v>73</v>
      </c>
      <c r="I9" s="4" t="s">
        <v>74</v>
      </c>
      <c r="J9" s="4">
        <v>5</v>
      </c>
      <c r="K9" s="4">
        <v>149.99</v>
      </c>
      <c r="L9" s="4" t="s">
        <v>54</v>
      </c>
      <c r="M9" s="4" t="s">
        <v>68</v>
      </c>
      <c r="N9" s="4" t="s">
        <v>55</v>
      </c>
      <c r="O9" s="5">
        <v>45295</v>
      </c>
      <c r="P9" s="4">
        <v>749.95</v>
      </c>
      <c r="Q9" s="8">
        <f t="shared" ca="1" si="0"/>
        <v>46173.713128356481</v>
      </c>
      <c r="R9" s="7">
        <f ca="1">DATEDIF(data[[#This Row],[Customer_Since]],data[[#This Row],[Timestamp]],"M")</f>
        <v>28</v>
      </c>
      <c r="S9">
        <f>COUNTIF($H$5:H9,H9)</f>
        <v>1</v>
      </c>
      <c r="T9">
        <f>COUNTIF($L$5:L9,L9)</f>
        <v>2</v>
      </c>
      <c r="U9">
        <f>COUNTIF($M$5:M9,M9)</f>
        <v>2</v>
      </c>
      <c r="V9" s="14">
        <f>EOMONTH(data[[#This Row],[Date]],0)</f>
        <v>45412</v>
      </c>
    </row>
    <row r="10" spans="2:28" ht="14.4" x14ac:dyDescent="0.3">
      <c r="B10" s="4" t="s">
        <v>75</v>
      </c>
      <c r="C10" s="9">
        <v>45398</v>
      </c>
      <c r="D10" s="4" t="s">
        <v>76</v>
      </c>
      <c r="E10" s="4" t="str">
        <f>RIGHT(data[[#This Row],[Customer_ID]],3)</f>
        <v>024</v>
      </c>
      <c r="F10" s="4" t="s">
        <v>77</v>
      </c>
      <c r="G10" s="4" t="s">
        <v>59</v>
      </c>
      <c r="H10" s="4" t="s">
        <v>60</v>
      </c>
      <c r="I10" s="4" t="s">
        <v>61</v>
      </c>
      <c r="J10" s="4">
        <v>2</v>
      </c>
      <c r="K10" s="4">
        <v>59.99</v>
      </c>
      <c r="L10" s="4" t="s">
        <v>48</v>
      </c>
      <c r="M10" s="4" t="s">
        <v>78</v>
      </c>
      <c r="N10" s="4" t="s">
        <v>64</v>
      </c>
      <c r="O10" s="5">
        <v>44746</v>
      </c>
      <c r="P10" s="4">
        <v>119.98</v>
      </c>
      <c r="Q10" s="8">
        <f t="shared" ca="1" si="0"/>
        <v>46173.713128356481</v>
      </c>
      <c r="R10" s="7">
        <f ca="1">DATEDIF(data[[#This Row],[Customer_Since]],data[[#This Row],[Timestamp]],"M")</f>
        <v>46</v>
      </c>
      <c r="S10">
        <f>COUNTIF($H$5:H10,H10)</f>
        <v>3</v>
      </c>
      <c r="T10">
        <f>COUNTIF($L$5:L10,L10)</f>
        <v>3</v>
      </c>
      <c r="U10">
        <f>COUNTIF($M$5:M10,M10)</f>
        <v>1</v>
      </c>
      <c r="V10" s="14">
        <f>EOMONTH(data[[#This Row],[Date]],0)</f>
        <v>45412</v>
      </c>
    </row>
    <row r="11" spans="2:28" ht="14.4" x14ac:dyDescent="0.3">
      <c r="B11" s="4" t="s">
        <v>79</v>
      </c>
      <c r="C11" s="9">
        <v>45399</v>
      </c>
      <c r="D11" s="4" t="s">
        <v>76</v>
      </c>
      <c r="E11" s="4" t="str">
        <f>RIGHT(data[[#This Row],[Customer_ID]],3)</f>
        <v>024</v>
      </c>
      <c r="F11" s="4" t="s">
        <v>77</v>
      </c>
      <c r="G11" s="4" t="s">
        <v>80</v>
      </c>
      <c r="H11" s="4" t="s">
        <v>81</v>
      </c>
      <c r="I11" s="4" t="s">
        <v>47</v>
      </c>
      <c r="J11" s="4">
        <v>5</v>
      </c>
      <c r="K11" s="4">
        <v>149.99</v>
      </c>
      <c r="L11" s="4" t="s">
        <v>54</v>
      </c>
      <c r="M11" s="4" t="s">
        <v>49</v>
      </c>
      <c r="N11" s="4" t="s">
        <v>64</v>
      </c>
      <c r="O11" s="5">
        <v>44418</v>
      </c>
      <c r="P11" s="4">
        <v>749.95</v>
      </c>
      <c r="Q11" s="8">
        <f t="shared" ca="1" si="0"/>
        <v>46173.713128356481</v>
      </c>
      <c r="R11" s="7">
        <f ca="1">DATEDIF(data[[#This Row],[Customer_Since]],data[[#This Row],[Timestamp]],"M")</f>
        <v>57</v>
      </c>
      <c r="S11">
        <f>COUNTIF($H$5:H11,H11)</f>
        <v>1</v>
      </c>
      <c r="T11">
        <f>COUNTIF($L$5:L11,L11)</f>
        <v>3</v>
      </c>
      <c r="U11">
        <f>COUNTIF($M$5:M11,M11)</f>
        <v>3</v>
      </c>
      <c r="V11" s="14">
        <f>EOMONTH(data[[#This Row],[Date]],0)</f>
        <v>45412</v>
      </c>
    </row>
    <row r="12" spans="2:28" ht="14.4" x14ac:dyDescent="0.3">
      <c r="B12" s="4" t="s">
        <v>82</v>
      </c>
      <c r="C12" s="9">
        <v>45400</v>
      </c>
      <c r="D12" s="4" t="s">
        <v>83</v>
      </c>
      <c r="E12" s="4" t="str">
        <f>RIGHT(data[[#This Row],[Customer_ID]],3)</f>
        <v>017</v>
      </c>
      <c r="F12" s="4" t="s">
        <v>84</v>
      </c>
      <c r="G12" s="4" t="s">
        <v>59</v>
      </c>
      <c r="H12" s="4" t="s">
        <v>60</v>
      </c>
      <c r="I12" s="4" t="s">
        <v>61</v>
      </c>
      <c r="J12" s="4">
        <v>3</v>
      </c>
      <c r="K12" s="4">
        <v>59.99</v>
      </c>
      <c r="L12" s="4" t="s">
        <v>85</v>
      </c>
      <c r="M12" s="4" t="s">
        <v>63</v>
      </c>
      <c r="N12" s="4" t="s">
        <v>50</v>
      </c>
      <c r="O12" s="5">
        <v>45007</v>
      </c>
      <c r="P12" s="4">
        <v>179.97</v>
      </c>
      <c r="Q12" s="8">
        <f t="shared" ca="1" si="0"/>
        <v>46173.713128356481</v>
      </c>
      <c r="R12" s="7">
        <f ca="1">DATEDIF(data[[#This Row],[Customer_Since]],data[[#This Row],[Timestamp]],"M")</f>
        <v>38</v>
      </c>
      <c r="S12">
        <f>COUNTIF($H$5:H12,H12)</f>
        <v>4</v>
      </c>
      <c r="T12">
        <f>COUNTIF($L$5:L12,L12)</f>
        <v>1</v>
      </c>
      <c r="U12">
        <f>COUNTIF($M$5:M12,M12)</f>
        <v>2</v>
      </c>
      <c r="V12" s="14">
        <f>EOMONTH(data[[#This Row],[Date]],0)</f>
        <v>45412</v>
      </c>
    </row>
    <row r="13" spans="2:28" ht="14.4" x14ac:dyDescent="0.3">
      <c r="B13" s="4" t="s">
        <v>86</v>
      </c>
      <c r="C13" s="9">
        <v>45401</v>
      </c>
      <c r="D13" s="4" t="s">
        <v>87</v>
      </c>
      <c r="E13" s="4" t="str">
        <f>RIGHT(data[[#This Row],[Customer_ID]],3)</f>
        <v>009</v>
      </c>
      <c r="F13" s="4" t="s">
        <v>88</v>
      </c>
      <c r="G13" s="4" t="s">
        <v>89</v>
      </c>
      <c r="H13" s="4" t="s">
        <v>90</v>
      </c>
      <c r="I13" s="4" t="s">
        <v>47</v>
      </c>
      <c r="J13" s="4">
        <v>3</v>
      </c>
      <c r="K13" s="4">
        <v>899.99</v>
      </c>
      <c r="L13" s="4" t="s">
        <v>62</v>
      </c>
      <c r="M13" s="4" t="s">
        <v>91</v>
      </c>
      <c r="N13" s="4" t="s">
        <v>64</v>
      </c>
      <c r="O13" s="5">
        <v>45299</v>
      </c>
      <c r="P13" s="4">
        <v>2699.97</v>
      </c>
      <c r="Q13" s="8">
        <f t="shared" ca="1" si="0"/>
        <v>46173.713128356481</v>
      </c>
      <c r="R13" s="7">
        <f ca="1">DATEDIF(data[[#This Row],[Customer_Since]],data[[#This Row],[Timestamp]],"M")</f>
        <v>28</v>
      </c>
      <c r="S13">
        <f>COUNTIF($H$5:H13,H13)</f>
        <v>1</v>
      </c>
      <c r="T13">
        <f>COUNTIF($L$5:L13,L13)</f>
        <v>2</v>
      </c>
      <c r="U13">
        <f>COUNTIF($M$5:M13,M13)</f>
        <v>1</v>
      </c>
      <c r="V13" s="14">
        <f>EOMONTH(data[[#This Row],[Date]],0)</f>
        <v>45412</v>
      </c>
    </row>
    <row r="14" spans="2:28" ht="14.4" x14ac:dyDescent="0.3">
      <c r="B14" s="4" t="s">
        <v>92</v>
      </c>
      <c r="C14" s="9">
        <v>45402</v>
      </c>
      <c r="D14" s="4" t="s">
        <v>93</v>
      </c>
      <c r="E14" s="4" t="str">
        <f>RIGHT(data[[#This Row],[Customer_ID]],3)</f>
        <v>026</v>
      </c>
      <c r="F14" s="4" t="s">
        <v>94</v>
      </c>
      <c r="G14" s="4" t="s">
        <v>59</v>
      </c>
      <c r="H14" s="4" t="s">
        <v>60</v>
      </c>
      <c r="I14" s="4" t="s">
        <v>61</v>
      </c>
      <c r="J14" s="4">
        <v>3</v>
      </c>
      <c r="K14" s="4">
        <v>59.99</v>
      </c>
      <c r="L14" s="4" t="s">
        <v>48</v>
      </c>
      <c r="M14" s="4" t="s">
        <v>78</v>
      </c>
      <c r="N14" s="4" t="s">
        <v>55</v>
      </c>
      <c r="O14" s="5">
        <v>45207</v>
      </c>
      <c r="P14" s="4">
        <v>179.97</v>
      </c>
      <c r="Q14" s="8">
        <f t="shared" ca="1" si="0"/>
        <v>46173.713128356481</v>
      </c>
      <c r="R14" s="7">
        <f ca="1">DATEDIF(data[[#This Row],[Customer_Since]],data[[#This Row],[Timestamp]],"M")</f>
        <v>31</v>
      </c>
      <c r="S14">
        <f>COUNTIF($H$5:H14,H14)</f>
        <v>5</v>
      </c>
      <c r="T14">
        <f>COUNTIF($L$5:L14,L14)</f>
        <v>4</v>
      </c>
      <c r="U14">
        <f>COUNTIF($M$5:M14,M14)</f>
        <v>2</v>
      </c>
      <c r="V14" s="14">
        <f>EOMONTH(data[[#This Row],[Date]],0)</f>
        <v>45412</v>
      </c>
    </row>
    <row r="15" spans="2:28" ht="14.4" x14ac:dyDescent="0.3">
      <c r="B15" s="4" t="s">
        <v>95</v>
      </c>
      <c r="C15" s="9">
        <v>45403</v>
      </c>
      <c r="D15" s="4" t="s">
        <v>96</v>
      </c>
      <c r="E15" s="4" t="str">
        <f>RIGHT(data[[#This Row],[Customer_ID]],3)</f>
        <v>022</v>
      </c>
      <c r="F15" s="4" t="s">
        <v>97</v>
      </c>
      <c r="G15" s="4" t="s">
        <v>72</v>
      </c>
      <c r="H15" s="4" t="s">
        <v>73</v>
      </c>
      <c r="I15" s="4" t="s">
        <v>74</v>
      </c>
      <c r="J15" s="4">
        <v>1</v>
      </c>
      <c r="K15" s="4">
        <v>149.99</v>
      </c>
      <c r="L15" s="4" t="s">
        <v>54</v>
      </c>
      <c r="M15" s="4" t="s">
        <v>78</v>
      </c>
      <c r="N15" s="4" t="s">
        <v>64</v>
      </c>
      <c r="O15" s="5">
        <v>45103</v>
      </c>
      <c r="P15" s="4">
        <v>149.99</v>
      </c>
      <c r="Q15" s="8">
        <f t="shared" ca="1" si="0"/>
        <v>46173.713128356481</v>
      </c>
      <c r="R15" s="7">
        <f ca="1">DATEDIF(data[[#This Row],[Customer_Since]],data[[#This Row],[Timestamp]],"M")</f>
        <v>35</v>
      </c>
      <c r="S15">
        <f>COUNTIF($H$5:H15,H15)</f>
        <v>2</v>
      </c>
      <c r="T15">
        <f>COUNTIF($L$5:L15,L15)</f>
        <v>4</v>
      </c>
      <c r="U15">
        <f>COUNTIF($M$5:M15,M15)</f>
        <v>3</v>
      </c>
      <c r="V15" s="14">
        <f>EOMONTH(data[[#This Row],[Date]],0)</f>
        <v>45412</v>
      </c>
    </row>
    <row r="16" spans="2:28" ht="14.4" x14ac:dyDescent="0.3">
      <c r="B16" s="4" t="s">
        <v>98</v>
      </c>
      <c r="C16" s="9">
        <v>45404</v>
      </c>
      <c r="D16" s="4" t="s">
        <v>66</v>
      </c>
      <c r="E16" s="4" t="str">
        <f>RIGHT(data[[#This Row],[Customer_ID]],3)</f>
        <v>046</v>
      </c>
      <c r="F16" s="4" t="s">
        <v>67</v>
      </c>
      <c r="G16" s="4" t="s">
        <v>72</v>
      </c>
      <c r="H16" s="4" t="s">
        <v>73</v>
      </c>
      <c r="I16" s="4" t="s">
        <v>74</v>
      </c>
      <c r="J16" s="4">
        <v>5</v>
      </c>
      <c r="K16" s="4">
        <v>149.99</v>
      </c>
      <c r="L16" s="4" t="s">
        <v>85</v>
      </c>
      <c r="M16" s="4" t="s">
        <v>68</v>
      </c>
      <c r="N16" s="4" t="s">
        <v>50</v>
      </c>
      <c r="O16" s="5">
        <v>44830</v>
      </c>
      <c r="P16" s="4">
        <v>749.95</v>
      </c>
      <c r="Q16" s="8">
        <f t="shared" ca="1" si="0"/>
        <v>46173.713128356481</v>
      </c>
      <c r="R16" s="7">
        <f ca="1">DATEDIF(data[[#This Row],[Customer_Since]],data[[#This Row],[Timestamp]],"M")</f>
        <v>44</v>
      </c>
      <c r="S16">
        <f>COUNTIF($H$5:H16,H16)</f>
        <v>3</v>
      </c>
      <c r="T16">
        <f>COUNTIF($L$5:L16,L16)</f>
        <v>2</v>
      </c>
      <c r="U16">
        <f>COUNTIF($M$5:M16,M16)</f>
        <v>3</v>
      </c>
      <c r="V16" s="14">
        <f>EOMONTH(data[[#This Row],[Date]],0)</f>
        <v>45412</v>
      </c>
    </row>
    <row r="17" spans="2:22" ht="14.4" x14ac:dyDescent="0.3">
      <c r="B17" s="4" t="s">
        <v>99</v>
      </c>
      <c r="C17" s="9">
        <v>45405</v>
      </c>
      <c r="D17" s="4" t="s">
        <v>100</v>
      </c>
      <c r="E17" s="4" t="str">
        <f>RIGHT(data[[#This Row],[Customer_ID]],3)</f>
        <v>041</v>
      </c>
      <c r="F17" s="4" t="s">
        <v>101</v>
      </c>
      <c r="G17" s="4" t="s">
        <v>72</v>
      </c>
      <c r="H17" s="4" t="s">
        <v>73</v>
      </c>
      <c r="I17" s="4" t="s">
        <v>74</v>
      </c>
      <c r="J17" s="4">
        <v>3</v>
      </c>
      <c r="K17" s="4">
        <v>149.99</v>
      </c>
      <c r="L17" s="4" t="s">
        <v>48</v>
      </c>
      <c r="M17" s="4" t="s">
        <v>68</v>
      </c>
      <c r="N17" s="4" t="s">
        <v>55</v>
      </c>
      <c r="O17" s="5">
        <v>44806</v>
      </c>
      <c r="P17" s="4">
        <v>449.97</v>
      </c>
      <c r="Q17" s="8">
        <f t="shared" ca="1" si="0"/>
        <v>46173.713128356481</v>
      </c>
      <c r="R17" s="7">
        <f ca="1">DATEDIF(data[[#This Row],[Customer_Since]],data[[#This Row],[Timestamp]],"M")</f>
        <v>44</v>
      </c>
      <c r="S17">
        <f>COUNTIF($H$5:H17,H17)</f>
        <v>4</v>
      </c>
      <c r="T17">
        <f>COUNTIF($L$5:L17,L17)</f>
        <v>5</v>
      </c>
      <c r="U17">
        <f>COUNTIF($M$5:M17,M17)</f>
        <v>4</v>
      </c>
      <c r="V17" s="14">
        <f>EOMONTH(data[[#This Row],[Date]],0)</f>
        <v>45412</v>
      </c>
    </row>
    <row r="18" spans="2:22" ht="14.4" x14ac:dyDescent="0.3">
      <c r="B18" s="4" t="s">
        <v>102</v>
      </c>
      <c r="C18" s="9">
        <v>45406</v>
      </c>
      <c r="D18" s="4" t="s">
        <v>103</v>
      </c>
      <c r="E18" s="4" t="str">
        <f>RIGHT(data[[#This Row],[Customer_ID]],3)</f>
        <v>043</v>
      </c>
      <c r="F18" s="4" t="s">
        <v>104</v>
      </c>
      <c r="G18" s="4" t="s">
        <v>59</v>
      </c>
      <c r="H18" s="4" t="s">
        <v>60</v>
      </c>
      <c r="I18" s="4" t="s">
        <v>61</v>
      </c>
      <c r="J18" s="4">
        <v>3</v>
      </c>
      <c r="K18" s="4">
        <v>59.99</v>
      </c>
      <c r="L18" s="4" t="s">
        <v>54</v>
      </c>
      <c r="M18" s="4" t="s">
        <v>68</v>
      </c>
      <c r="N18" s="4" t="s">
        <v>64</v>
      </c>
      <c r="O18" s="5">
        <v>45351</v>
      </c>
      <c r="P18" s="4">
        <v>179.97</v>
      </c>
      <c r="Q18" s="8">
        <f t="shared" ca="1" si="0"/>
        <v>46173.713128356481</v>
      </c>
      <c r="R18" s="7">
        <f ca="1">DATEDIF(data[[#This Row],[Customer_Since]],data[[#This Row],[Timestamp]],"M")</f>
        <v>27</v>
      </c>
      <c r="S18">
        <f>COUNTIF($H$5:H18,H18)</f>
        <v>6</v>
      </c>
      <c r="T18">
        <f>COUNTIF($L$5:L18,L18)</f>
        <v>5</v>
      </c>
      <c r="U18">
        <f>COUNTIF($M$5:M18,M18)</f>
        <v>5</v>
      </c>
      <c r="V18" s="14">
        <f>EOMONTH(data[[#This Row],[Date]],0)</f>
        <v>45412</v>
      </c>
    </row>
    <row r="19" spans="2:22" ht="14.4" x14ac:dyDescent="0.3">
      <c r="B19" s="4" t="s">
        <v>105</v>
      </c>
      <c r="C19" s="9">
        <v>45407</v>
      </c>
      <c r="D19" s="4" t="s">
        <v>106</v>
      </c>
      <c r="E19" s="4" t="str">
        <f>RIGHT(data[[#This Row],[Customer_ID]],3)</f>
        <v>038</v>
      </c>
      <c r="F19" s="4" t="s">
        <v>107</v>
      </c>
      <c r="G19" s="4" t="s">
        <v>108</v>
      </c>
      <c r="H19" s="4" t="s">
        <v>109</v>
      </c>
      <c r="I19" s="4" t="s">
        <v>47</v>
      </c>
      <c r="J19" s="4">
        <v>3</v>
      </c>
      <c r="K19" s="4">
        <v>699.99</v>
      </c>
      <c r="L19" s="4" t="s">
        <v>54</v>
      </c>
      <c r="M19" s="4" t="s">
        <v>78</v>
      </c>
      <c r="N19" s="4" t="s">
        <v>50</v>
      </c>
      <c r="O19" s="5">
        <v>44577</v>
      </c>
      <c r="P19" s="4">
        <v>2099.9699999999998</v>
      </c>
      <c r="Q19" s="8">
        <f t="shared" ca="1" si="0"/>
        <v>46173.713128356481</v>
      </c>
      <c r="R19" s="7">
        <f ca="1">DATEDIF(data[[#This Row],[Customer_Since]],data[[#This Row],[Timestamp]],"M")</f>
        <v>52</v>
      </c>
      <c r="S19">
        <f>COUNTIF($H$5:H19,H19)</f>
        <v>1</v>
      </c>
      <c r="T19">
        <f>COUNTIF($L$5:L19,L19)</f>
        <v>6</v>
      </c>
      <c r="U19">
        <f>COUNTIF($M$5:M19,M19)</f>
        <v>4</v>
      </c>
      <c r="V19" s="14">
        <f>EOMONTH(data[[#This Row],[Date]],0)</f>
        <v>45412</v>
      </c>
    </row>
    <row r="20" spans="2:22" ht="14.4" x14ac:dyDescent="0.3">
      <c r="B20" s="4" t="s">
        <v>110</v>
      </c>
      <c r="C20" s="9">
        <v>45408</v>
      </c>
      <c r="D20" s="4" t="s">
        <v>111</v>
      </c>
      <c r="E20" s="4" t="str">
        <f>RIGHT(data[[#This Row],[Customer_ID]],3)</f>
        <v>027</v>
      </c>
      <c r="F20" s="4" t="s">
        <v>112</v>
      </c>
      <c r="G20" s="4" t="s">
        <v>89</v>
      </c>
      <c r="H20" s="4" t="s">
        <v>90</v>
      </c>
      <c r="I20" s="4" t="s">
        <v>47</v>
      </c>
      <c r="J20" s="4">
        <v>1</v>
      </c>
      <c r="K20" s="4">
        <v>899.99</v>
      </c>
      <c r="L20" s="4" t="s">
        <v>85</v>
      </c>
      <c r="M20" s="4" t="s">
        <v>68</v>
      </c>
      <c r="N20" s="4" t="s">
        <v>64</v>
      </c>
      <c r="O20" s="5">
        <v>44920</v>
      </c>
      <c r="P20" s="4">
        <v>899.99</v>
      </c>
      <c r="Q20" s="8">
        <f t="shared" ca="1" si="0"/>
        <v>46173.713128356481</v>
      </c>
      <c r="R20" s="7">
        <f ca="1">DATEDIF(data[[#This Row],[Customer_Since]],data[[#This Row],[Timestamp]],"M")</f>
        <v>41</v>
      </c>
      <c r="S20">
        <f>COUNTIF($H$5:H20,H20)</f>
        <v>2</v>
      </c>
      <c r="T20">
        <f>COUNTIF($L$5:L20,L20)</f>
        <v>3</v>
      </c>
      <c r="U20">
        <f>COUNTIF($M$5:M20,M20)</f>
        <v>6</v>
      </c>
      <c r="V20" s="14">
        <f>EOMONTH(data[[#This Row],[Date]],0)</f>
        <v>45412</v>
      </c>
    </row>
    <row r="21" spans="2:22" ht="14.4" x14ac:dyDescent="0.3">
      <c r="B21" s="4" t="s">
        <v>113</v>
      </c>
      <c r="C21" s="9">
        <v>45409</v>
      </c>
      <c r="D21" s="4" t="s">
        <v>114</v>
      </c>
      <c r="E21" s="4" t="str">
        <f>RIGHT(data[[#This Row],[Customer_ID]],3)</f>
        <v>025</v>
      </c>
      <c r="F21" s="4" t="s">
        <v>115</v>
      </c>
      <c r="G21" s="4" t="s">
        <v>72</v>
      </c>
      <c r="H21" s="4" t="s">
        <v>73</v>
      </c>
      <c r="I21" s="4" t="s">
        <v>74</v>
      </c>
      <c r="J21" s="4">
        <v>4</v>
      </c>
      <c r="K21" s="4">
        <v>149.99</v>
      </c>
      <c r="L21" s="4" t="s">
        <v>85</v>
      </c>
      <c r="M21" s="4" t="s">
        <v>68</v>
      </c>
      <c r="N21" s="4" t="s">
        <v>55</v>
      </c>
      <c r="O21" s="5">
        <v>45374</v>
      </c>
      <c r="P21" s="4">
        <v>599.96</v>
      </c>
      <c r="Q21" s="8">
        <f t="shared" ca="1" si="0"/>
        <v>46173.713128356481</v>
      </c>
      <c r="R21" s="7">
        <f ca="1">DATEDIF(data[[#This Row],[Customer_Since]],data[[#This Row],[Timestamp]],"M")</f>
        <v>26</v>
      </c>
      <c r="S21">
        <f>COUNTIF($H$5:H21,H21)</f>
        <v>5</v>
      </c>
      <c r="T21">
        <f>COUNTIF($L$5:L21,L21)</f>
        <v>4</v>
      </c>
      <c r="U21">
        <f>COUNTIF($M$5:M21,M21)</f>
        <v>7</v>
      </c>
      <c r="V21" s="14">
        <f>EOMONTH(data[[#This Row],[Date]],0)</f>
        <v>45412</v>
      </c>
    </row>
    <row r="22" spans="2:22" ht="14.4" x14ac:dyDescent="0.3">
      <c r="B22" s="4" t="s">
        <v>116</v>
      </c>
      <c r="C22" s="9">
        <v>45410</v>
      </c>
      <c r="D22" s="4" t="s">
        <v>117</v>
      </c>
      <c r="E22" s="4" t="str">
        <f>RIGHT(data[[#This Row],[Customer_ID]],3)</f>
        <v>010</v>
      </c>
      <c r="F22" s="4" t="s">
        <v>118</v>
      </c>
      <c r="G22" s="4" t="s">
        <v>108</v>
      </c>
      <c r="H22" s="4" t="s">
        <v>109</v>
      </c>
      <c r="I22" s="4" t="s">
        <v>47</v>
      </c>
      <c r="J22" s="4">
        <v>2</v>
      </c>
      <c r="K22" s="4">
        <v>699.99</v>
      </c>
      <c r="L22" s="4" t="s">
        <v>48</v>
      </c>
      <c r="M22" s="4" t="s">
        <v>68</v>
      </c>
      <c r="N22" s="4" t="s">
        <v>50</v>
      </c>
      <c r="O22" s="5">
        <v>44781</v>
      </c>
      <c r="P22" s="4">
        <v>1399.98</v>
      </c>
      <c r="Q22" s="8">
        <f t="shared" ca="1" si="0"/>
        <v>46173.713128356481</v>
      </c>
      <c r="R22" s="7">
        <f ca="1">DATEDIF(data[[#This Row],[Customer_Since]],data[[#This Row],[Timestamp]],"M")</f>
        <v>45</v>
      </c>
      <c r="S22">
        <f>COUNTIF($H$5:H22,H22)</f>
        <v>2</v>
      </c>
      <c r="T22">
        <f>COUNTIF($L$5:L22,L22)</f>
        <v>6</v>
      </c>
      <c r="U22">
        <f>COUNTIF($M$5:M22,M22)</f>
        <v>8</v>
      </c>
      <c r="V22" s="14">
        <f>EOMONTH(data[[#This Row],[Date]],0)</f>
        <v>45412</v>
      </c>
    </row>
    <row r="23" spans="2:22" ht="14.4" x14ac:dyDescent="0.3">
      <c r="B23" s="4" t="s">
        <v>119</v>
      </c>
      <c r="C23" s="9">
        <v>45411</v>
      </c>
      <c r="D23" s="4" t="s">
        <v>114</v>
      </c>
      <c r="E23" s="4" t="str">
        <f>RIGHT(data[[#This Row],[Customer_ID]],3)</f>
        <v>025</v>
      </c>
      <c r="F23" s="4" t="s">
        <v>115</v>
      </c>
      <c r="G23" s="4" t="s">
        <v>89</v>
      </c>
      <c r="H23" s="4" t="s">
        <v>90</v>
      </c>
      <c r="I23" s="4" t="s">
        <v>47</v>
      </c>
      <c r="J23" s="4">
        <v>4</v>
      </c>
      <c r="K23" s="4">
        <v>899.99</v>
      </c>
      <c r="L23" s="4" t="s">
        <v>54</v>
      </c>
      <c r="M23" s="4" t="s">
        <v>78</v>
      </c>
      <c r="N23" s="4" t="s">
        <v>64</v>
      </c>
      <c r="O23" s="5">
        <v>45327</v>
      </c>
      <c r="P23" s="4">
        <v>3599.96</v>
      </c>
      <c r="Q23" s="8">
        <f t="shared" ca="1" si="0"/>
        <v>46173.713128356481</v>
      </c>
      <c r="R23" s="7">
        <f ca="1">DATEDIF(data[[#This Row],[Customer_Since]],data[[#This Row],[Timestamp]],"M")</f>
        <v>27</v>
      </c>
      <c r="S23">
        <f>COUNTIF($H$5:H23,H23)</f>
        <v>3</v>
      </c>
      <c r="T23">
        <f>COUNTIF($L$5:L23,L23)</f>
        <v>7</v>
      </c>
      <c r="U23">
        <f>COUNTIF($M$5:M23,M23)</f>
        <v>5</v>
      </c>
      <c r="V23" s="14">
        <f>EOMONTH(data[[#This Row],[Date]],0)</f>
        <v>45412</v>
      </c>
    </row>
    <row r="24" spans="2:22" ht="15.75" customHeight="1" x14ac:dyDescent="0.3">
      <c r="B24" s="4" t="s">
        <v>120</v>
      </c>
      <c r="C24" s="9">
        <v>45412</v>
      </c>
      <c r="D24" s="4" t="s">
        <v>121</v>
      </c>
      <c r="E24" s="4" t="str">
        <f>RIGHT(data[[#This Row],[Customer_ID]],3)</f>
        <v>048</v>
      </c>
      <c r="F24" s="4" t="s">
        <v>122</v>
      </c>
      <c r="G24" s="4" t="s">
        <v>45</v>
      </c>
      <c r="H24" s="4" t="s">
        <v>46</v>
      </c>
      <c r="I24" s="4" t="s">
        <v>47</v>
      </c>
      <c r="J24" s="4">
        <v>3</v>
      </c>
      <c r="K24" s="4">
        <v>249.99</v>
      </c>
      <c r="L24" s="4" t="s">
        <v>54</v>
      </c>
      <c r="M24" s="4" t="s">
        <v>68</v>
      </c>
      <c r="N24" s="4" t="s">
        <v>55</v>
      </c>
      <c r="O24" s="5">
        <v>45224</v>
      </c>
      <c r="P24" s="4">
        <v>749.97</v>
      </c>
      <c r="Q24" s="8">
        <f t="shared" ca="1" si="0"/>
        <v>46173.713128356481</v>
      </c>
      <c r="R24" s="7">
        <f ca="1">DATEDIF(data[[#This Row],[Customer_Since]],data[[#This Row],[Timestamp]],"M")</f>
        <v>31</v>
      </c>
      <c r="S24">
        <f>COUNTIF($H$5:H24,H24)</f>
        <v>3</v>
      </c>
      <c r="T24">
        <f>COUNTIF($L$5:L24,L24)</f>
        <v>8</v>
      </c>
      <c r="U24">
        <f>COUNTIF($M$5:M24,M24)</f>
        <v>9</v>
      </c>
      <c r="V24" s="14">
        <f>EOMONTH(data[[#This Row],[Date]],0)</f>
        <v>45412</v>
      </c>
    </row>
    <row r="25" spans="2:22" ht="15.75" customHeight="1" x14ac:dyDescent="0.3">
      <c r="B25" s="4" t="s">
        <v>123</v>
      </c>
      <c r="C25" s="9">
        <v>45413</v>
      </c>
      <c r="D25" s="4" t="s">
        <v>124</v>
      </c>
      <c r="E25" s="4" t="str">
        <f>RIGHT(data[[#This Row],[Customer_ID]],3)</f>
        <v>018</v>
      </c>
      <c r="F25" s="4" t="s">
        <v>125</v>
      </c>
      <c r="G25" s="4" t="s">
        <v>108</v>
      </c>
      <c r="H25" s="4" t="s">
        <v>109</v>
      </c>
      <c r="I25" s="4" t="s">
        <v>47</v>
      </c>
      <c r="J25" s="4">
        <v>5</v>
      </c>
      <c r="K25" s="4">
        <v>699.99</v>
      </c>
      <c r="L25" s="4" t="s">
        <v>48</v>
      </c>
      <c r="M25" s="4" t="s">
        <v>78</v>
      </c>
      <c r="N25" s="4" t="s">
        <v>50</v>
      </c>
      <c r="O25" s="5">
        <v>45167</v>
      </c>
      <c r="P25" s="4">
        <v>3499.95</v>
      </c>
      <c r="Q25" s="8">
        <f t="shared" ca="1" si="0"/>
        <v>46173.713128356481</v>
      </c>
      <c r="R25" s="7">
        <f ca="1">DATEDIF(data[[#This Row],[Customer_Since]],data[[#This Row],[Timestamp]],"M")</f>
        <v>33</v>
      </c>
      <c r="S25">
        <f>COUNTIF($H$5:H25,H25)</f>
        <v>3</v>
      </c>
      <c r="T25">
        <f>COUNTIF($L$5:L25,L25)</f>
        <v>7</v>
      </c>
      <c r="U25">
        <f>COUNTIF($M$5:M25,M25)</f>
        <v>6</v>
      </c>
      <c r="V25" s="14">
        <f>EOMONTH(data[[#This Row],[Date]],0)</f>
        <v>45443</v>
      </c>
    </row>
    <row r="26" spans="2:22" ht="15.75" customHeight="1" x14ac:dyDescent="0.3">
      <c r="B26" s="4" t="s">
        <v>126</v>
      </c>
      <c r="C26" s="9">
        <v>45414</v>
      </c>
      <c r="D26" s="4" t="s">
        <v>127</v>
      </c>
      <c r="E26" s="4" t="str">
        <f>RIGHT(data[[#This Row],[Customer_ID]],3)</f>
        <v>012</v>
      </c>
      <c r="F26" s="4" t="s">
        <v>128</v>
      </c>
      <c r="G26" s="4" t="s">
        <v>108</v>
      </c>
      <c r="H26" s="4" t="s">
        <v>109</v>
      </c>
      <c r="I26" s="4" t="s">
        <v>47</v>
      </c>
      <c r="J26" s="4">
        <v>4</v>
      </c>
      <c r="K26" s="4">
        <v>699.99</v>
      </c>
      <c r="L26" s="4" t="s">
        <v>48</v>
      </c>
      <c r="M26" s="4" t="s">
        <v>91</v>
      </c>
      <c r="N26" s="4" t="s">
        <v>64</v>
      </c>
      <c r="O26" s="5">
        <v>44409</v>
      </c>
      <c r="P26" s="4">
        <v>2799.96</v>
      </c>
      <c r="Q26" s="8">
        <f t="shared" ca="1" si="0"/>
        <v>46173.713128356481</v>
      </c>
      <c r="R26" s="7">
        <f ca="1">DATEDIF(data[[#This Row],[Customer_Since]],data[[#This Row],[Timestamp]],"M")</f>
        <v>57</v>
      </c>
      <c r="S26">
        <f>COUNTIF($H$5:H26,H26)</f>
        <v>4</v>
      </c>
      <c r="T26">
        <f>COUNTIF($L$5:L26,L26)</f>
        <v>8</v>
      </c>
      <c r="U26">
        <f>COUNTIF($M$5:M26,M26)</f>
        <v>2</v>
      </c>
      <c r="V26" s="14">
        <f>EOMONTH(data[[#This Row],[Date]],0)</f>
        <v>45443</v>
      </c>
    </row>
    <row r="27" spans="2:22" ht="15.75" customHeight="1" x14ac:dyDescent="0.3">
      <c r="B27" s="4" t="s">
        <v>129</v>
      </c>
      <c r="C27" s="9">
        <v>45415</v>
      </c>
      <c r="D27" s="4" t="s">
        <v>130</v>
      </c>
      <c r="E27" s="4" t="str">
        <f>RIGHT(data[[#This Row],[Customer_ID]],3)</f>
        <v>044</v>
      </c>
      <c r="F27" s="4" t="s">
        <v>131</v>
      </c>
      <c r="G27" s="4" t="s">
        <v>45</v>
      </c>
      <c r="H27" s="4" t="s">
        <v>46</v>
      </c>
      <c r="I27" s="4" t="s">
        <v>47</v>
      </c>
      <c r="J27" s="4">
        <v>4</v>
      </c>
      <c r="K27" s="4">
        <v>249.99</v>
      </c>
      <c r="L27" s="4" t="s">
        <v>62</v>
      </c>
      <c r="M27" s="4" t="s">
        <v>68</v>
      </c>
      <c r="N27" s="4" t="s">
        <v>64</v>
      </c>
      <c r="O27" s="5">
        <v>44468</v>
      </c>
      <c r="P27" s="4">
        <v>999.96</v>
      </c>
      <c r="Q27" s="8">
        <f t="shared" ca="1" si="0"/>
        <v>46173.713128356481</v>
      </c>
      <c r="R27" s="7">
        <f ca="1">DATEDIF(data[[#This Row],[Customer_Since]],data[[#This Row],[Timestamp]],"M")</f>
        <v>56</v>
      </c>
      <c r="S27">
        <f>COUNTIF($H$5:H27,H27)</f>
        <v>4</v>
      </c>
      <c r="T27">
        <f>COUNTIF($L$5:L27,L27)</f>
        <v>3</v>
      </c>
      <c r="U27">
        <f>COUNTIF($M$5:M27,M27)</f>
        <v>10</v>
      </c>
      <c r="V27" s="14">
        <f>EOMONTH(data[[#This Row],[Date]],0)</f>
        <v>45443</v>
      </c>
    </row>
    <row r="28" spans="2:22" ht="15.75" customHeight="1" x14ac:dyDescent="0.3">
      <c r="B28" s="4" t="s">
        <v>132</v>
      </c>
      <c r="C28" s="9">
        <v>45416</v>
      </c>
      <c r="D28" s="4" t="s">
        <v>114</v>
      </c>
      <c r="E28" s="4" t="str">
        <f>RIGHT(data[[#This Row],[Customer_ID]],3)</f>
        <v>025</v>
      </c>
      <c r="F28" s="4" t="s">
        <v>115</v>
      </c>
      <c r="G28" s="4" t="s">
        <v>133</v>
      </c>
      <c r="H28" s="4" t="s">
        <v>134</v>
      </c>
      <c r="I28" s="4" t="s">
        <v>74</v>
      </c>
      <c r="J28" s="4">
        <v>4</v>
      </c>
      <c r="K28" s="4">
        <v>299.99</v>
      </c>
      <c r="L28" s="4" t="s">
        <v>48</v>
      </c>
      <c r="M28" s="4" t="s">
        <v>78</v>
      </c>
      <c r="N28" s="4" t="s">
        <v>55</v>
      </c>
      <c r="O28" s="5">
        <v>44716</v>
      </c>
      <c r="P28" s="4">
        <v>1199.96</v>
      </c>
      <c r="Q28" s="8">
        <f t="shared" ca="1" si="0"/>
        <v>46173.713128356481</v>
      </c>
      <c r="R28" s="7">
        <f ca="1">DATEDIF(data[[#This Row],[Customer_Since]],data[[#This Row],[Timestamp]],"M")</f>
        <v>47</v>
      </c>
      <c r="S28">
        <f>COUNTIF($H$5:H28,H28)</f>
        <v>1</v>
      </c>
      <c r="T28">
        <f>COUNTIF($L$5:L28,L28)</f>
        <v>9</v>
      </c>
      <c r="U28">
        <f>COUNTIF($M$5:M28,M28)</f>
        <v>7</v>
      </c>
      <c r="V28" s="14">
        <f>EOMONTH(data[[#This Row],[Date]],0)</f>
        <v>45443</v>
      </c>
    </row>
    <row r="29" spans="2:22" ht="15.75" customHeight="1" x14ac:dyDescent="0.3">
      <c r="B29" s="4" t="s">
        <v>135</v>
      </c>
      <c r="C29" s="9">
        <v>45417</v>
      </c>
      <c r="D29" s="4" t="s">
        <v>136</v>
      </c>
      <c r="E29" s="4" t="str">
        <f>RIGHT(data[[#This Row],[Customer_ID]],3)</f>
        <v>036</v>
      </c>
      <c r="F29" s="4" t="s">
        <v>137</v>
      </c>
      <c r="G29" s="4" t="s">
        <v>45</v>
      </c>
      <c r="H29" s="4" t="s">
        <v>46</v>
      </c>
      <c r="I29" s="4" t="s">
        <v>47</v>
      </c>
      <c r="J29" s="4">
        <v>5</v>
      </c>
      <c r="K29" s="4">
        <v>249.99</v>
      </c>
      <c r="L29" s="4" t="s">
        <v>54</v>
      </c>
      <c r="M29" s="4" t="s">
        <v>78</v>
      </c>
      <c r="N29" s="4" t="s">
        <v>64</v>
      </c>
      <c r="O29" s="5">
        <v>44525</v>
      </c>
      <c r="P29" s="4">
        <v>1249.95</v>
      </c>
      <c r="Q29" s="8">
        <f t="shared" ca="1" si="0"/>
        <v>46173.713128356481</v>
      </c>
      <c r="R29" s="7">
        <f ca="1">DATEDIF(data[[#This Row],[Customer_Since]],data[[#This Row],[Timestamp]],"M")</f>
        <v>54</v>
      </c>
      <c r="S29">
        <f>COUNTIF($H$5:H29,H29)</f>
        <v>5</v>
      </c>
      <c r="T29">
        <f>COUNTIF($L$5:L29,L29)</f>
        <v>9</v>
      </c>
      <c r="U29">
        <f>COUNTIF($M$5:M29,M29)</f>
        <v>8</v>
      </c>
      <c r="V29" s="14">
        <f>EOMONTH(data[[#This Row],[Date]],0)</f>
        <v>45443</v>
      </c>
    </row>
    <row r="30" spans="2:22" ht="15.75" customHeight="1" x14ac:dyDescent="0.3">
      <c r="B30" s="4" t="s">
        <v>138</v>
      </c>
      <c r="C30" s="9">
        <v>45418</v>
      </c>
      <c r="D30" s="4" t="s">
        <v>96</v>
      </c>
      <c r="E30" s="4" t="str">
        <f>RIGHT(data[[#This Row],[Customer_ID]],3)</f>
        <v>022</v>
      </c>
      <c r="F30" s="4" t="s">
        <v>97</v>
      </c>
      <c r="G30" s="4" t="s">
        <v>133</v>
      </c>
      <c r="H30" s="4" t="s">
        <v>134</v>
      </c>
      <c r="I30" s="4" t="s">
        <v>74</v>
      </c>
      <c r="J30" s="4">
        <v>5</v>
      </c>
      <c r="K30" s="4">
        <v>299.99</v>
      </c>
      <c r="L30" s="4" t="s">
        <v>62</v>
      </c>
      <c r="M30" s="4" t="s">
        <v>91</v>
      </c>
      <c r="N30" s="4" t="s">
        <v>50</v>
      </c>
      <c r="O30" s="5">
        <v>45168</v>
      </c>
      <c r="P30" s="4">
        <v>1499.95</v>
      </c>
      <c r="Q30" s="8">
        <f t="shared" ca="1" si="0"/>
        <v>46173.713128356481</v>
      </c>
      <c r="R30" s="7">
        <f ca="1">DATEDIF(data[[#This Row],[Customer_Since]],data[[#This Row],[Timestamp]],"M")</f>
        <v>33</v>
      </c>
      <c r="S30">
        <f>COUNTIF($H$5:H30,H30)</f>
        <v>2</v>
      </c>
      <c r="T30">
        <f>COUNTIF($L$5:L30,L30)</f>
        <v>4</v>
      </c>
      <c r="U30">
        <f>COUNTIF($M$5:M30,M30)</f>
        <v>3</v>
      </c>
      <c r="V30" s="14">
        <f>EOMONTH(data[[#This Row],[Date]],0)</f>
        <v>45443</v>
      </c>
    </row>
    <row r="31" spans="2:22" ht="15.75" customHeight="1" x14ac:dyDescent="0.3">
      <c r="B31" s="4" t="s">
        <v>139</v>
      </c>
      <c r="C31" s="9">
        <v>45419</v>
      </c>
      <c r="D31" s="4" t="s">
        <v>140</v>
      </c>
      <c r="E31" s="4" t="str">
        <f>RIGHT(data[[#This Row],[Customer_ID]],3)</f>
        <v>014</v>
      </c>
      <c r="F31" s="4" t="s">
        <v>141</v>
      </c>
      <c r="G31" s="4" t="s">
        <v>142</v>
      </c>
      <c r="H31" s="4" t="s">
        <v>143</v>
      </c>
      <c r="I31" s="4" t="s">
        <v>61</v>
      </c>
      <c r="J31" s="4">
        <v>3</v>
      </c>
      <c r="K31" s="4">
        <v>79.989999999999995</v>
      </c>
      <c r="L31" s="4" t="s">
        <v>62</v>
      </c>
      <c r="M31" s="4" t="s">
        <v>91</v>
      </c>
      <c r="N31" s="4" t="s">
        <v>55</v>
      </c>
      <c r="O31" s="5">
        <v>45012</v>
      </c>
      <c r="P31" s="4">
        <v>239.97</v>
      </c>
      <c r="Q31" s="8">
        <f t="shared" ca="1" si="0"/>
        <v>46173.713128356481</v>
      </c>
      <c r="R31" s="7">
        <f ca="1">DATEDIF(data[[#This Row],[Customer_Since]],data[[#This Row],[Timestamp]],"M")</f>
        <v>38</v>
      </c>
      <c r="S31">
        <f>COUNTIF($H$5:H31,H31)</f>
        <v>1</v>
      </c>
      <c r="T31">
        <f>COUNTIF($L$5:L31,L31)</f>
        <v>5</v>
      </c>
      <c r="U31">
        <f>COUNTIF($M$5:M31,M31)</f>
        <v>4</v>
      </c>
      <c r="V31" s="14">
        <f>EOMONTH(data[[#This Row],[Date]],0)</f>
        <v>45443</v>
      </c>
    </row>
    <row r="32" spans="2:22" ht="15.75" customHeight="1" x14ac:dyDescent="0.3">
      <c r="B32" s="4" t="s">
        <v>144</v>
      </c>
      <c r="C32" s="9">
        <v>45420</v>
      </c>
      <c r="D32" s="4" t="s">
        <v>127</v>
      </c>
      <c r="E32" s="4" t="str">
        <f>RIGHT(data[[#This Row],[Customer_ID]],3)</f>
        <v>012</v>
      </c>
      <c r="F32" s="4" t="s">
        <v>128</v>
      </c>
      <c r="G32" s="4" t="s">
        <v>145</v>
      </c>
      <c r="H32" s="4" t="s">
        <v>146</v>
      </c>
      <c r="I32" s="4" t="s">
        <v>47</v>
      </c>
      <c r="J32" s="4">
        <v>5</v>
      </c>
      <c r="K32" s="4">
        <v>89.99</v>
      </c>
      <c r="L32" s="4" t="s">
        <v>48</v>
      </c>
      <c r="M32" s="4" t="s">
        <v>68</v>
      </c>
      <c r="N32" s="4" t="s">
        <v>55</v>
      </c>
      <c r="O32" s="5">
        <v>44919</v>
      </c>
      <c r="P32" s="4">
        <v>449.95</v>
      </c>
      <c r="Q32" s="8">
        <f t="shared" ca="1" si="0"/>
        <v>46173.713128356481</v>
      </c>
      <c r="R32" s="7">
        <f ca="1">DATEDIF(data[[#This Row],[Customer_Since]],data[[#This Row],[Timestamp]],"M")</f>
        <v>41</v>
      </c>
      <c r="S32">
        <f>COUNTIF($H$5:H32,H32)</f>
        <v>1</v>
      </c>
      <c r="T32">
        <f>COUNTIF($L$5:L32,L32)</f>
        <v>10</v>
      </c>
      <c r="U32">
        <f>COUNTIF($M$5:M32,M32)</f>
        <v>11</v>
      </c>
      <c r="V32" s="14">
        <f>EOMONTH(data[[#This Row],[Date]],0)</f>
        <v>45443</v>
      </c>
    </row>
    <row r="33" spans="2:22" ht="15.75" customHeight="1" x14ac:dyDescent="0.3">
      <c r="B33" s="4" t="s">
        <v>147</v>
      </c>
      <c r="C33" s="9">
        <v>45421</v>
      </c>
      <c r="D33" s="4" t="s">
        <v>148</v>
      </c>
      <c r="E33" s="4" t="str">
        <f>RIGHT(data[[#This Row],[Customer_ID]],3)</f>
        <v>030</v>
      </c>
      <c r="F33" s="4" t="s">
        <v>149</v>
      </c>
      <c r="G33" s="4" t="s">
        <v>59</v>
      </c>
      <c r="H33" s="4" t="s">
        <v>60</v>
      </c>
      <c r="I33" s="4" t="s">
        <v>61</v>
      </c>
      <c r="J33" s="4">
        <v>2</v>
      </c>
      <c r="K33" s="4">
        <v>59.99</v>
      </c>
      <c r="L33" s="4" t="s">
        <v>85</v>
      </c>
      <c r="M33" s="4" t="s">
        <v>49</v>
      </c>
      <c r="N33" s="4" t="s">
        <v>64</v>
      </c>
      <c r="O33" s="5">
        <v>45214</v>
      </c>
      <c r="P33" s="4">
        <v>119.98</v>
      </c>
      <c r="Q33" s="8">
        <f t="shared" ca="1" si="0"/>
        <v>46173.713128356481</v>
      </c>
      <c r="R33" s="7">
        <f ca="1">DATEDIF(data[[#This Row],[Customer_Since]],data[[#This Row],[Timestamp]],"M")</f>
        <v>31</v>
      </c>
      <c r="S33">
        <f>COUNTIF($H$5:H33,H33)</f>
        <v>7</v>
      </c>
      <c r="T33">
        <f>COUNTIF($L$5:L33,L33)</f>
        <v>5</v>
      </c>
      <c r="U33">
        <f>COUNTIF($M$5:M33,M33)</f>
        <v>4</v>
      </c>
      <c r="V33" s="14">
        <f>EOMONTH(data[[#This Row],[Date]],0)</f>
        <v>45443</v>
      </c>
    </row>
    <row r="34" spans="2:22" ht="15.75" customHeight="1" x14ac:dyDescent="0.3">
      <c r="B34" s="4" t="s">
        <v>150</v>
      </c>
      <c r="C34" s="9">
        <v>45422</v>
      </c>
      <c r="D34" s="4" t="s">
        <v>151</v>
      </c>
      <c r="E34" s="4" t="str">
        <f>RIGHT(data[[#This Row],[Customer_ID]],3)</f>
        <v>029</v>
      </c>
      <c r="F34" s="4" t="s">
        <v>152</v>
      </c>
      <c r="G34" s="4" t="s">
        <v>59</v>
      </c>
      <c r="H34" s="4" t="s">
        <v>60</v>
      </c>
      <c r="I34" s="4" t="s">
        <v>61</v>
      </c>
      <c r="J34" s="4">
        <v>4</v>
      </c>
      <c r="K34" s="4">
        <v>59.99</v>
      </c>
      <c r="L34" s="4" t="s">
        <v>85</v>
      </c>
      <c r="M34" s="4" t="s">
        <v>91</v>
      </c>
      <c r="N34" s="4" t="s">
        <v>64</v>
      </c>
      <c r="O34" s="5">
        <v>44867</v>
      </c>
      <c r="P34" s="4">
        <v>239.96</v>
      </c>
      <c r="Q34" s="8">
        <f t="shared" ca="1" si="0"/>
        <v>46173.713128356481</v>
      </c>
      <c r="R34" s="7">
        <f ca="1">DATEDIF(data[[#This Row],[Customer_Since]],data[[#This Row],[Timestamp]],"M")</f>
        <v>42</v>
      </c>
      <c r="S34">
        <f>COUNTIF($H$5:H34,H34)</f>
        <v>8</v>
      </c>
      <c r="T34">
        <f>COUNTIF($L$5:L34,L34)</f>
        <v>6</v>
      </c>
      <c r="U34">
        <f>COUNTIF($M$5:M34,M34)</f>
        <v>5</v>
      </c>
      <c r="V34" s="14">
        <f>EOMONTH(data[[#This Row],[Date]],0)</f>
        <v>45443</v>
      </c>
    </row>
    <row r="35" spans="2:22" ht="15.75" customHeight="1" x14ac:dyDescent="0.3">
      <c r="B35" s="4" t="s">
        <v>153</v>
      </c>
      <c r="C35" s="9">
        <v>45423</v>
      </c>
      <c r="D35" s="4" t="s">
        <v>83</v>
      </c>
      <c r="E35" s="4" t="str">
        <f>RIGHT(data[[#This Row],[Customer_ID]],3)</f>
        <v>017</v>
      </c>
      <c r="F35" s="4" t="s">
        <v>84</v>
      </c>
      <c r="G35" s="4" t="s">
        <v>154</v>
      </c>
      <c r="H35" s="4" t="s">
        <v>155</v>
      </c>
      <c r="I35" s="4" t="s">
        <v>74</v>
      </c>
      <c r="J35" s="4">
        <v>5</v>
      </c>
      <c r="K35" s="4">
        <v>199.99</v>
      </c>
      <c r="L35" s="4" t="s">
        <v>48</v>
      </c>
      <c r="M35" s="4" t="s">
        <v>63</v>
      </c>
      <c r="N35" s="4" t="s">
        <v>64</v>
      </c>
      <c r="O35" s="5">
        <v>44412</v>
      </c>
      <c r="P35" s="4">
        <v>999.95</v>
      </c>
      <c r="Q35" s="8">
        <f t="shared" ca="1" si="0"/>
        <v>46173.713128356481</v>
      </c>
      <c r="R35" s="7">
        <f ca="1">DATEDIF(data[[#This Row],[Customer_Since]],data[[#This Row],[Timestamp]],"M")</f>
        <v>57</v>
      </c>
      <c r="S35">
        <f>COUNTIF($H$5:H35,H35)</f>
        <v>1</v>
      </c>
      <c r="T35">
        <f>COUNTIF($L$5:L35,L35)</f>
        <v>11</v>
      </c>
      <c r="U35">
        <f>COUNTIF($M$5:M35,M35)</f>
        <v>3</v>
      </c>
      <c r="V35" s="14">
        <f>EOMONTH(data[[#This Row],[Date]],0)</f>
        <v>45443</v>
      </c>
    </row>
    <row r="36" spans="2:22" ht="15.75" customHeight="1" x14ac:dyDescent="0.3">
      <c r="B36" s="4" t="s">
        <v>156</v>
      </c>
      <c r="C36" s="9">
        <v>45424</v>
      </c>
      <c r="D36" s="4" t="s">
        <v>157</v>
      </c>
      <c r="E36" s="4" t="str">
        <f>RIGHT(data[[#This Row],[Customer_ID]],3)</f>
        <v>006</v>
      </c>
      <c r="F36" s="4" t="s">
        <v>158</v>
      </c>
      <c r="G36" s="4" t="s">
        <v>72</v>
      </c>
      <c r="H36" s="4" t="s">
        <v>73</v>
      </c>
      <c r="I36" s="4" t="s">
        <v>74</v>
      </c>
      <c r="J36" s="4">
        <v>2</v>
      </c>
      <c r="K36" s="4">
        <v>149.99</v>
      </c>
      <c r="L36" s="4" t="s">
        <v>54</v>
      </c>
      <c r="M36" s="4" t="s">
        <v>78</v>
      </c>
      <c r="N36" s="4" t="s">
        <v>50</v>
      </c>
      <c r="O36" s="5">
        <v>44823</v>
      </c>
      <c r="P36" s="4">
        <v>299.98</v>
      </c>
      <c r="Q36" s="8">
        <f t="shared" ca="1" si="0"/>
        <v>46173.713128356481</v>
      </c>
      <c r="R36" s="7">
        <f ca="1">DATEDIF(data[[#This Row],[Customer_Since]],data[[#This Row],[Timestamp]],"M")</f>
        <v>44</v>
      </c>
      <c r="S36">
        <f>COUNTIF($H$5:H36,H36)</f>
        <v>6</v>
      </c>
      <c r="T36">
        <f>COUNTIF($L$5:L36,L36)</f>
        <v>10</v>
      </c>
      <c r="U36">
        <f>COUNTIF($M$5:M36,M36)</f>
        <v>9</v>
      </c>
      <c r="V36" s="14">
        <f>EOMONTH(data[[#This Row],[Date]],0)</f>
        <v>45443</v>
      </c>
    </row>
    <row r="37" spans="2:22" ht="15.75" customHeight="1" x14ac:dyDescent="0.3">
      <c r="B37" s="4" t="s">
        <v>159</v>
      </c>
      <c r="C37" s="9">
        <v>45425</v>
      </c>
      <c r="D37" s="4" t="s">
        <v>160</v>
      </c>
      <c r="E37" s="4" t="str">
        <f>RIGHT(data[[#This Row],[Customer_ID]],3)</f>
        <v>002</v>
      </c>
      <c r="F37" s="4" t="s">
        <v>161</v>
      </c>
      <c r="G37" s="4" t="s">
        <v>72</v>
      </c>
      <c r="H37" s="4" t="s">
        <v>73</v>
      </c>
      <c r="I37" s="4" t="s">
        <v>74</v>
      </c>
      <c r="J37" s="4">
        <v>3</v>
      </c>
      <c r="K37" s="4">
        <v>149.99</v>
      </c>
      <c r="L37" s="4" t="s">
        <v>54</v>
      </c>
      <c r="M37" s="4" t="s">
        <v>78</v>
      </c>
      <c r="N37" s="4" t="s">
        <v>55</v>
      </c>
      <c r="O37" s="5">
        <v>45068</v>
      </c>
      <c r="P37" s="4">
        <v>449.97</v>
      </c>
      <c r="Q37" s="8">
        <f t="shared" ca="1" si="0"/>
        <v>46173.713128356481</v>
      </c>
      <c r="R37" s="7">
        <f ca="1">DATEDIF(data[[#This Row],[Customer_Since]],data[[#This Row],[Timestamp]],"M")</f>
        <v>36</v>
      </c>
      <c r="S37">
        <f>COUNTIF($H$5:H37,H37)</f>
        <v>7</v>
      </c>
      <c r="T37">
        <f>COUNTIF($L$5:L37,L37)</f>
        <v>11</v>
      </c>
      <c r="U37">
        <f>COUNTIF($M$5:M37,M37)</f>
        <v>10</v>
      </c>
      <c r="V37" s="14">
        <f>EOMONTH(data[[#This Row],[Date]],0)</f>
        <v>45443</v>
      </c>
    </row>
    <row r="38" spans="2:22" ht="15.75" customHeight="1" x14ac:dyDescent="0.3">
      <c r="B38" s="4" t="s">
        <v>162</v>
      </c>
      <c r="C38" s="9">
        <v>45426</v>
      </c>
      <c r="D38" s="4" t="s">
        <v>57</v>
      </c>
      <c r="E38" s="4" t="str">
        <f>RIGHT(data[[#This Row],[Customer_ID]],3)</f>
        <v>021</v>
      </c>
      <c r="F38" s="4" t="s">
        <v>58</v>
      </c>
      <c r="G38" s="4" t="s">
        <v>89</v>
      </c>
      <c r="H38" s="4" t="s">
        <v>90</v>
      </c>
      <c r="I38" s="4" t="s">
        <v>47</v>
      </c>
      <c r="J38" s="4">
        <v>1</v>
      </c>
      <c r="K38" s="4">
        <v>899.99</v>
      </c>
      <c r="L38" s="4" t="s">
        <v>54</v>
      </c>
      <c r="M38" s="4" t="s">
        <v>78</v>
      </c>
      <c r="N38" s="4" t="s">
        <v>55</v>
      </c>
      <c r="O38" s="5">
        <v>44578</v>
      </c>
      <c r="P38" s="4">
        <v>899.99</v>
      </c>
      <c r="Q38" s="8">
        <f t="shared" ca="1" si="0"/>
        <v>46173.713128356481</v>
      </c>
      <c r="R38" s="7">
        <f ca="1">DATEDIF(data[[#This Row],[Customer_Since]],data[[#This Row],[Timestamp]],"M")</f>
        <v>52</v>
      </c>
      <c r="S38">
        <f>COUNTIF($H$5:H38,H38)</f>
        <v>4</v>
      </c>
      <c r="T38">
        <f>COUNTIF($L$5:L38,L38)</f>
        <v>12</v>
      </c>
      <c r="U38">
        <f>COUNTIF($M$5:M38,M38)</f>
        <v>11</v>
      </c>
      <c r="V38" s="14">
        <f>EOMONTH(data[[#This Row],[Date]],0)</f>
        <v>45443</v>
      </c>
    </row>
    <row r="39" spans="2:22" ht="15.75" customHeight="1" x14ac:dyDescent="0.3">
      <c r="B39" s="4" t="s">
        <v>163</v>
      </c>
      <c r="C39" s="9">
        <v>45427</v>
      </c>
      <c r="D39" s="4" t="s">
        <v>127</v>
      </c>
      <c r="E39" s="4" t="str">
        <f>RIGHT(data[[#This Row],[Customer_ID]],3)</f>
        <v>012</v>
      </c>
      <c r="F39" s="4" t="s">
        <v>128</v>
      </c>
      <c r="G39" s="4" t="s">
        <v>133</v>
      </c>
      <c r="H39" s="4" t="s">
        <v>134</v>
      </c>
      <c r="I39" s="4" t="s">
        <v>74</v>
      </c>
      <c r="J39" s="4">
        <v>3</v>
      </c>
      <c r="K39" s="4">
        <v>299.99</v>
      </c>
      <c r="L39" s="4" t="s">
        <v>54</v>
      </c>
      <c r="M39" s="4" t="s">
        <v>91</v>
      </c>
      <c r="N39" s="4" t="s">
        <v>50</v>
      </c>
      <c r="O39" s="5">
        <v>44824</v>
      </c>
      <c r="P39" s="4">
        <v>899.97</v>
      </c>
      <c r="Q39" s="8">
        <f t="shared" ca="1" si="0"/>
        <v>46173.713128356481</v>
      </c>
      <c r="R39" s="7">
        <f ca="1">DATEDIF(data[[#This Row],[Customer_Since]],data[[#This Row],[Timestamp]],"M")</f>
        <v>44</v>
      </c>
      <c r="S39">
        <f>COUNTIF($H$5:H39,H39)</f>
        <v>3</v>
      </c>
      <c r="T39">
        <f>COUNTIF($L$5:L39,L39)</f>
        <v>13</v>
      </c>
      <c r="U39">
        <f>COUNTIF($M$5:M39,M39)</f>
        <v>6</v>
      </c>
      <c r="V39" s="14">
        <f>EOMONTH(data[[#This Row],[Date]],0)</f>
        <v>45443</v>
      </c>
    </row>
    <row r="40" spans="2:22" ht="15.75" customHeight="1" x14ac:dyDescent="0.3">
      <c r="B40" s="4" t="s">
        <v>164</v>
      </c>
      <c r="C40" s="9">
        <v>45428</v>
      </c>
      <c r="D40" s="4" t="s">
        <v>157</v>
      </c>
      <c r="E40" s="4" t="str">
        <f>RIGHT(data[[#This Row],[Customer_ID]],3)</f>
        <v>006</v>
      </c>
      <c r="F40" s="4" t="s">
        <v>158</v>
      </c>
      <c r="G40" s="4" t="s">
        <v>142</v>
      </c>
      <c r="H40" s="4" t="s">
        <v>143</v>
      </c>
      <c r="I40" s="4" t="s">
        <v>61</v>
      </c>
      <c r="J40" s="4">
        <v>3</v>
      </c>
      <c r="K40" s="4">
        <v>79.989999999999995</v>
      </c>
      <c r="L40" s="4" t="s">
        <v>48</v>
      </c>
      <c r="M40" s="4" t="s">
        <v>63</v>
      </c>
      <c r="N40" s="4" t="s">
        <v>50</v>
      </c>
      <c r="O40" s="5">
        <v>45046</v>
      </c>
      <c r="P40" s="4">
        <v>239.97</v>
      </c>
      <c r="Q40" s="8">
        <f t="shared" ca="1" si="0"/>
        <v>46173.713128356481</v>
      </c>
      <c r="R40" s="7">
        <f ca="1">DATEDIF(data[[#This Row],[Customer_Since]],data[[#This Row],[Timestamp]],"M")</f>
        <v>37</v>
      </c>
      <c r="S40">
        <f>COUNTIF($H$5:H40,H40)</f>
        <v>2</v>
      </c>
      <c r="T40">
        <f>COUNTIF($L$5:L40,L40)</f>
        <v>12</v>
      </c>
      <c r="U40">
        <f>COUNTIF($M$5:M40,M40)</f>
        <v>4</v>
      </c>
      <c r="V40" s="14">
        <f>EOMONTH(data[[#This Row],[Date]],0)</f>
        <v>45443</v>
      </c>
    </row>
    <row r="41" spans="2:22" ht="15.75" customHeight="1" x14ac:dyDescent="0.3">
      <c r="B41" s="4" t="s">
        <v>165</v>
      </c>
      <c r="C41" s="9">
        <v>45429</v>
      </c>
      <c r="D41" s="4" t="s">
        <v>166</v>
      </c>
      <c r="E41" s="4" t="str">
        <f>RIGHT(data[[#This Row],[Customer_ID]],3)</f>
        <v>031</v>
      </c>
      <c r="F41" s="4" t="s">
        <v>167</v>
      </c>
      <c r="G41" s="4" t="s">
        <v>154</v>
      </c>
      <c r="H41" s="4" t="s">
        <v>155</v>
      </c>
      <c r="I41" s="4" t="s">
        <v>74</v>
      </c>
      <c r="J41" s="4">
        <v>3</v>
      </c>
      <c r="K41" s="4">
        <v>199.99</v>
      </c>
      <c r="L41" s="4" t="s">
        <v>54</v>
      </c>
      <c r="M41" s="4" t="s">
        <v>68</v>
      </c>
      <c r="N41" s="4" t="s">
        <v>55</v>
      </c>
      <c r="O41" s="5">
        <v>45292</v>
      </c>
      <c r="P41" s="4">
        <v>599.97</v>
      </c>
      <c r="Q41" s="8">
        <f t="shared" ca="1" si="0"/>
        <v>46173.713128356481</v>
      </c>
      <c r="R41" s="7">
        <f ca="1">DATEDIF(data[[#This Row],[Customer_Since]],data[[#This Row],[Timestamp]],"M")</f>
        <v>28</v>
      </c>
      <c r="S41">
        <f>COUNTIF($H$5:H41,H41)</f>
        <v>2</v>
      </c>
      <c r="T41">
        <f>COUNTIF($L$5:L41,L41)</f>
        <v>14</v>
      </c>
      <c r="U41">
        <f>COUNTIF($M$5:M41,M41)</f>
        <v>12</v>
      </c>
      <c r="V41" s="14">
        <f>EOMONTH(data[[#This Row],[Date]],0)</f>
        <v>45443</v>
      </c>
    </row>
    <row r="42" spans="2:22" ht="15.75" customHeight="1" x14ac:dyDescent="0.3">
      <c r="B42" s="4" t="s">
        <v>168</v>
      </c>
      <c r="C42" s="9">
        <v>45430</v>
      </c>
      <c r="D42" s="4" t="s">
        <v>169</v>
      </c>
      <c r="E42" s="4" t="str">
        <f>RIGHT(data[[#This Row],[Customer_ID]],3)</f>
        <v>008</v>
      </c>
      <c r="F42" s="4" t="s">
        <v>170</v>
      </c>
      <c r="G42" s="4" t="s">
        <v>108</v>
      </c>
      <c r="H42" s="4" t="s">
        <v>109</v>
      </c>
      <c r="I42" s="4" t="s">
        <v>47</v>
      </c>
      <c r="J42" s="4">
        <v>5</v>
      </c>
      <c r="K42" s="4">
        <v>699.99</v>
      </c>
      <c r="L42" s="4" t="s">
        <v>62</v>
      </c>
      <c r="M42" s="4" t="s">
        <v>78</v>
      </c>
      <c r="N42" s="4" t="s">
        <v>64</v>
      </c>
      <c r="O42" s="5">
        <v>44407</v>
      </c>
      <c r="P42" s="4">
        <v>3499.95</v>
      </c>
      <c r="Q42" s="8">
        <f t="shared" ca="1" si="0"/>
        <v>46173.713128356481</v>
      </c>
      <c r="R42" s="7">
        <f ca="1">DATEDIF(data[[#This Row],[Customer_Since]],data[[#This Row],[Timestamp]],"M")</f>
        <v>58</v>
      </c>
      <c r="S42">
        <f>COUNTIF($H$5:H42,H42)</f>
        <v>5</v>
      </c>
      <c r="T42">
        <f>COUNTIF($L$5:L42,L42)</f>
        <v>6</v>
      </c>
      <c r="U42">
        <f>COUNTIF($M$5:M42,M42)</f>
        <v>12</v>
      </c>
      <c r="V42" s="14">
        <f>EOMONTH(data[[#This Row],[Date]],0)</f>
        <v>45443</v>
      </c>
    </row>
    <row r="43" spans="2:22" ht="15.75" customHeight="1" x14ac:dyDescent="0.3">
      <c r="B43" s="4" t="s">
        <v>171</v>
      </c>
      <c r="C43" s="9">
        <v>45431</v>
      </c>
      <c r="D43" s="4" t="s">
        <v>172</v>
      </c>
      <c r="E43" s="4" t="str">
        <f>RIGHT(data[[#This Row],[Customer_ID]],3)</f>
        <v>035</v>
      </c>
      <c r="F43" s="4" t="s">
        <v>173</v>
      </c>
      <c r="G43" s="4" t="s">
        <v>145</v>
      </c>
      <c r="H43" s="4" t="s">
        <v>146</v>
      </c>
      <c r="I43" s="4" t="s">
        <v>47</v>
      </c>
      <c r="J43" s="4">
        <v>3</v>
      </c>
      <c r="K43" s="4">
        <v>89.99</v>
      </c>
      <c r="L43" s="4" t="s">
        <v>62</v>
      </c>
      <c r="M43" s="4" t="s">
        <v>49</v>
      </c>
      <c r="N43" s="4" t="s">
        <v>55</v>
      </c>
      <c r="O43" s="5">
        <v>45120</v>
      </c>
      <c r="P43" s="4">
        <v>269.97000000000003</v>
      </c>
      <c r="Q43" s="8">
        <f t="shared" ca="1" si="0"/>
        <v>46173.713128356481</v>
      </c>
      <c r="R43" s="7">
        <f ca="1">DATEDIF(data[[#This Row],[Customer_Since]],data[[#This Row],[Timestamp]],"M")</f>
        <v>34</v>
      </c>
      <c r="S43">
        <f>COUNTIF($H$5:H43,H43)</f>
        <v>2</v>
      </c>
      <c r="T43">
        <f>COUNTIF($L$5:L43,L43)</f>
        <v>7</v>
      </c>
      <c r="U43">
        <f>COUNTIF($M$5:M43,M43)</f>
        <v>5</v>
      </c>
      <c r="V43" s="14">
        <f>EOMONTH(data[[#This Row],[Date]],0)</f>
        <v>45443</v>
      </c>
    </row>
    <row r="44" spans="2:22" ht="15.75" customHeight="1" x14ac:dyDescent="0.3">
      <c r="B44" s="4" t="s">
        <v>174</v>
      </c>
      <c r="C44" s="9">
        <v>45432</v>
      </c>
      <c r="D44" s="4" t="s">
        <v>175</v>
      </c>
      <c r="E44" s="4" t="str">
        <f>RIGHT(data[[#This Row],[Customer_ID]],3)</f>
        <v>019</v>
      </c>
      <c r="F44" s="4" t="s">
        <v>176</v>
      </c>
      <c r="G44" s="4" t="s">
        <v>142</v>
      </c>
      <c r="H44" s="4" t="s">
        <v>143</v>
      </c>
      <c r="I44" s="4" t="s">
        <v>61</v>
      </c>
      <c r="J44" s="4">
        <v>1</v>
      </c>
      <c r="K44" s="4">
        <v>79.989999999999995</v>
      </c>
      <c r="L44" s="4" t="s">
        <v>48</v>
      </c>
      <c r="M44" s="4" t="s">
        <v>68</v>
      </c>
      <c r="N44" s="4" t="s">
        <v>64</v>
      </c>
      <c r="O44" s="5">
        <v>44917</v>
      </c>
      <c r="P44" s="4">
        <v>79.989999999999995</v>
      </c>
      <c r="Q44" s="8">
        <f t="shared" ca="1" si="0"/>
        <v>46173.713128356481</v>
      </c>
      <c r="R44" s="7">
        <f ca="1">DATEDIF(data[[#This Row],[Customer_Since]],data[[#This Row],[Timestamp]],"M")</f>
        <v>41</v>
      </c>
      <c r="S44">
        <f>COUNTIF($H$5:H44,H44)</f>
        <v>3</v>
      </c>
      <c r="T44">
        <f>COUNTIF($L$5:L44,L44)</f>
        <v>13</v>
      </c>
      <c r="U44">
        <f>COUNTIF($M$5:M44,M44)</f>
        <v>13</v>
      </c>
      <c r="V44" s="14">
        <f>EOMONTH(data[[#This Row],[Date]],0)</f>
        <v>45443</v>
      </c>
    </row>
    <row r="45" spans="2:22" ht="15.75" customHeight="1" x14ac:dyDescent="0.3">
      <c r="B45" s="4" t="s">
        <v>177</v>
      </c>
      <c r="C45" s="9">
        <v>45433</v>
      </c>
      <c r="D45" s="4" t="s">
        <v>178</v>
      </c>
      <c r="E45" s="4" t="str">
        <f>RIGHT(data[[#This Row],[Customer_ID]],3)</f>
        <v>040</v>
      </c>
      <c r="F45" s="4" t="s">
        <v>179</v>
      </c>
      <c r="G45" s="4" t="s">
        <v>59</v>
      </c>
      <c r="H45" s="4" t="s">
        <v>60</v>
      </c>
      <c r="I45" s="4" t="s">
        <v>61</v>
      </c>
      <c r="J45" s="4">
        <v>2</v>
      </c>
      <c r="K45" s="4">
        <v>59.99</v>
      </c>
      <c r="L45" s="4" t="s">
        <v>48</v>
      </c>
      <c r="M45" s="4" t="s">
        <v>78</v>
      </c>
      <c r="N45" s="4" t="s">
        <v>50</v>
      </c>
      <c r="O45" s="5">
        <v>45390</v>
      </c>
      <c r="P45" s="4">
        <v>119.98</v>
      </c>
      <c r="Q45" s="8">
        <f t="shared" ca="1" si="0"/>
        <v>46173.713128356481</v>
      </c>
      <c r="R45" s="7">
        <f ca="1">DATEDIF(data[[#This Row],[Customer_Since]],data[[#This Row],[Timestamp]],"M")</f>
        <v>25</v>
      </c>
      <c r="S45">
        <f>COUNTIF($H$5:H45,H45)</f>
        <v>9</v>
      </c>
      <c r="T45">
        <f>COUNTIF($L$5:L45,L45)</f>
        <v>14</v>
      </c>
      <c r="U45">
        <f>COUNTIF($M$5:M45,M45)</f>
        <v>13</v>
      </c>
      <c r="V45" s="14">
        <f>EOMONTH(data[[#This Row],[Date]],0)</f>
        <v>45443</v>
      </c>
    </row>
    <row r="46" spans="2:22" ht="15.75" customHeight="1" x14ac:dyDescent="0.3">
      <c r="B46" s="4" t="s">
        <v>180</v>
      </c>
      <c r="C46" s="9">
        <v>45434</v>
      </c>
      <c r="D46" s="4" t="s">
        <v>83</v>
      </c>
      <c r="E46" s="4" t="str">
        <f>RIGHT(data[[#This Row],[Customer_ID]],3)</f>
        <v>017</v>
      </c>
      <c r="F46" s="4" t="s">
        <v>84</v>
      </c>
      <c r="G46" s="4" t="s">
        <v>145</v>
      </c>
      <c r="H46" s="4" t="s">
        <v>146</v>
      </c>
      <c r="I46" s="4" t="s">
        <v>47</v>
      </c>
      <c r="J46" s="4">
        <v>1</v>
      </c>
      <c r="K46" s="4">
        <v>89.99</v>
      </c>
      <c r="L46" s="4" t="s">
        <v>48</v>
      </c>
      <c r="M46" s="4" t="s">
        <v>68</v>
      </c>
      <c r="N46" s="4" t="s">
        <v>50</v>
      </c>
      <c r="O46" s="5">
        <v>45141</v>
      </c>
      <c r="P46" s="4">
        <v>89.99</v>
      </c>
      <c r="Q46" s="8">
        <f t="shared" ca="1" si="0"/>
        <v>46173.713128356481</v>
      </c>
      <c r="R46" s="7">
        <f ca="1">DATEDIF(data[[#This Row],[Customer_Since]],data[[#This Row],[Timestamp]],"M")</f>
        <v>33</v>
      </c>
      <c r="S46">
        <f>COUNTIF($H$5:H46,H46)</f>
        <v>3</v>
      </c>
      <c r="T46">
        <f>COUNTIF($L$5:L46,L46)</f>
        <v>15</v>
      </c>
      <c r="U46">
        <f>COUNTIF($M$5:M46,M46)</f>
        <v>14</v>
      </c>
      <c r="V46" s="14">
        <f>EOMONTH(data[[#This Row],[Date]],0)</f>
        <v>45443</v>
      </c>
    </row>
    <row r="47" spans="2:22" ht="15.75" customHeight="1" x14ac:dyDescent="0.3">
      <c r="B47" s="4" t="s">
        <v>181</v>
      </c>
      <c r="C47" s="9">
        <v>45435</v>
      </c>
      <c r="D47" s="4" t="s">
        <v>182</v>
      </c>
      <c r="E47" s="4" t="str">
        <f>RIGHT(data[[#This Row],[Customer_ID]],3)</f>
        <v>004</v>
      </c>
      <c r="F47" s="4" t="s">
        <v>183</v>
      </c>
      <c r="G47" s="4" t="s">
        <v>145</v>
      </c>
      <c r="H47" s="4" t="s">
        <v>146</v>
      </c>
      <c r="I47" s="4" t="s">
        <v>47</v>
      </c>
      <c r="J47" s="4">
        <v>5</v>
      </c>
      <c r="K47" s="4">
        <v>89.99</v>
      </c>
      <c r="L47" s="4" t="s">
        <v>54</v>
      </c>
      <c r="M47" s="4" t="s">
        <v>91</v>
      </c>
      <c r="N47" s="4" t="s">
        <v>64</v>
      </c>
      <c r="O47" s="5">
        <v>44587</v>
      </c>
      <c r="P47" s="4">
        <v>449.95</v>
      </c>
      <c r="Q47" s="8">
        <f t="shared" ca="1" si="0"/>
        <v>46173.713128356481</v>
      </c>
      <c r="R47" s="7">
        <f ca="1">DATEDIF(data[[#This Row],[Customer_Since]],data[[#This Row],[Timestamp]],"M")</f>
        <v>52</v>
      </c>
      <c r="S47">
        <f>COUNTIF($H$5:H47,H47)</f>
        <v>4</v>
      </c>
      <c r="T47">
        <f>COUNTIF($L$5:L47,L47)</f>
        <v>15</v>
      </c>
      <c r="U47">
        <f>COUNTIF($M$5:M47,M47)</f>
        <v>7</v>
      </c>
      <c r="V47" s="14">
        <f>EOMONTH(data[[#This Row],[Date]],0)</f>
        <v>45443</v>
      </c>
    </row>
    <row r="48" spans="2:22" ht="15.75" customHeight="1" x14ac:dyDescent="0.3">
      <c r="B48" s="4" t="s">
        <v>184</v>
      </c>
      <c r="C48" s="9">
        <v>45436</v>
      </c>
      <c r="D48" s="4" t="s">
        <v>52</v>
      </c>
      <c r="E48" s="4" t="str">
        <f>RIGHT(data[[#This Row],[Customer_ID]],3)</f>
        <v>013</v>
      </c>
      <c r="F48" s="4" t="s">
        <v>53</v>
      </c>
      <c r="G48" s="4" t="s">
        <v>45</v>
      </c>
      <c r="H48" s="4" t="s">
        <v>46</v>
      </c>
      <c r="I48" s="4" t="s">
        <v>47</v>
      </c>
      <c r="J48" s="4">
        <v>5</v>
      </c>
      <c r="K48" s="4">
        <v>249.99</v>
      </c>
      <c r="L48" s="4" t="s">
        <v>54</v>
      </c>
      <c r="M48" s="4" t="s">
        <v>91</v>
      </c>
      <c r="N48" s="4" t="s">
        <v>64</v>
      </c>
      <c r="O48" s="5">
        <v>44707</v>
      </c>
      <c r="P48" s="4">
        <v>1249.95</v>
      </c>
      <c r="Q48" s="8">
        <f t="shared" ca="1" si="0"/>
        <v>46173.713128356481</v>
      </c>
      <c r="R48" s="7">
        <f ca="1">DATEDIF(data[[#This Row],[Customer_Since]],data[[#This Row],[Timestamp]],"M")</f>
        <v>48</v>
      </c>
      <c r="S48">
        <f>COUNTIF($H$5:H48,H48)</f>
        <v>6</v>
      </c>
      <c r="T48">
        <f>COUNTIF($L$5:L48,L48)</f>
        <v>16</v>
      </c>
      <c r="U48">
        <f>COUNTIF($M$5:M48,M48)</f>
        <v>8</v>
      </c>
      <c r="V48" s="14">
        <f>EOMONTH(data[[#This Row],[Date]],0)</f>
        <v>45443</v>
      </c>
    </row>
    <row r="49" spans="2:22" ht="15.75" customHeight="1" x14ac:dyDescent="0.3">
      <c r="B49" s="4" t="s">
        <v>185</v>
      </c>
      <c r="C49" s="9">
        <v>45437</v>
      </c>
      <c r="D49" s="4" t="s">
        <v>186</v>
      </c>
      <c r="E49" s="4" t="str">
        <f>RIGHT(data[[#This Row],[Customer_ID]],3)</f>
        <v>028</v>
      </c>
      <c r="F49" s="4" t="s">
        <v>187</v>
      </c>
      <c r="G49" s="4" t="s">
        <v>145</v>
      </c>
      <c r="H49" s="4" t="s">
        <v>146</v>
      </c>
      <c r="I49" s="4" t="s">
        <v>47</v>
      </c>
      <c r="J49" s="4">
        <v>1</v>
      </c>
      <c r="K49" s="4">
        <v>89.99</v>
      </c>
      <c r="L49" s="4" t="s">
        <v>54</v>
      </c>
      <c r="M49" s="4" t="s">
        <v>63</v>
      </c>
      <c r="N49" s="4" t="s">
        <v>64</v>
      </c>
      <c r="O49" s="5">
        <v>44582</v>
      </c>
      <c r="P49" s="4">
        <v>89.99</v>
      </c>
      <c r="Q49" s="8">
        <f t="shared" ca="1" si="0"/>
        <v>46173.713128356481</v>
      </c>
      <c r="R49" s="7">
        <f ca="1">DATEDIF(data[[#This Row],[Customer_Since]],data[[#This Row],[Timestamp]],"M")</f>
        <v>52</v>
      </c>
      <c r="S49">
        <f>COUNTIF($H$5:H49,H49)</f>
        <v>5</v>
      </c>
      <c r="T49">
        <f>COUNTIF($L$5:L49,L49)</f>
        <v>17</v>
      </c>
      <c r="U49">
        <f>COUNTIF($M$5:M49,M49)</f>
        <v>5</v>
      </c>
      <c r="V49" s="14">
        <f>EOMONTH(data[[#This Row],[Date]],0)</f>
        <v>45443</v>
      </c>
    </row>
    <row r="50" spans="2:22" ht="15.75" customHeight="1" x14ac:dyDescent="0.3">
      <c r="B50" s="4" t="s">
        <v>188</v>
      </c>
      <c r="C50" s="9">
        <v>45438</v>
      </c>
      <c r="D50" s="4" t="s">
        <v>70</v>
      </c>
      <c r="E50" s="4" t="str">
        <f>RIGHT(data[[#This Row],[Customer_ID]],3)</f>
        <v>003</v>
      </c>
      <c r="F50" s="4" t="s">
        <v>71</v>
      </c>
      <c r="G50" s="4" t="s">
        <v>72</v>
      </c>
      <c r="H50" s="4" t="s">
        <v>73</v>
      </c>
      <c r="I50" s="4" t="s">
        <v>74</v>
      </c>
      <c r="J50" s="4">
        <v>2</v>
      </c>
      <c r="K50" s="4">
        <v>149.99</v>
      </c>
      <c r="L50" s="4" t="s">
        <v>48</v>
      </c>
      <c r="M50" s="4" t="s">
        <v>91</v>
      </c>
      <c r="N50" s="4" t="s">
        <v>55</v>
      </c>
      <c r="O50" s="5">
        <v>44645</v>
      </c>
      <c r="P50" s="4">
        <v>299.98</v>
      </c>
      <c r="Q50" s="8">
        <f t="shared" ca="1" si="0"/>
        <v>46173.713128356481</v>
      </c>
      <c r="R50" s="7">
        <f ca="1">DATEDIF(data[[#This Row],[Customer_Since]],data[[#This Row],[Timestamp]],"M")</f>
        <v>50</v>
      </c>
      <c r="S50">
        <f>COUNTIF($H$5:H50,H50)</f>
        <v>8</v>
      </c>
      <c r="T50">
        <f>COUNTIF($L$5:L50,L50)</f>
        <v>16</v>
      </c>
      <c r="U50">
        <f>COUNTIF($M$5:M50,M50)</f>
        <v>9</v>
      </c>
      <c r="V50" s="14">
        <f>EOMONTH(data[[#This Row],[Date]],0)</f>
        <v>45443</v>
      </c>
    </row>
    <row r="51" spans="2:22" ht="15.75" customHeight="1" x14ac:dyDescent="0.3">
      <c r="B51" s="4" t="s">
        <v>189</v>
      </c>
      <c r="C51" s="9">
        <v>45439</v>
      </c>
      <c r="D51" s="4" t="s">
        <v>190</v>
      </c>
      <c r="E51" s="4" t="str">
        <f>RIGHT(data[[#This Row],[Customer_ID]],3)</f>
        <v>050</v>
      </c>
      <c r="F51" s="4" t="s">
        <v>191</v>
      </c>
      <c r="G51" s="4" t="s">
        <v>59</v>
      </c>
      <c r="H51" s="4" t="s">
        <v>60</v>
      </c>
      <c r="I51" s="4" t="s">
        <v>61</v>
      </c>
      <c r="J51" s="4">
        <v>4</v>
      </c>
      <c r="K51" s="4">
        <v>59.99</v>
      </c>
      <c r="L51" s="4" t="s">
        <v>48</v>
      </c>
      <c r="M51" s="4" t="s">
        <v>91</v>
      </c>
      <c r="N51" s="4" t="s">
        <v>64</v>
      </c>
      <c r="O51" s="5">
        <v>44435</v>
      </c>
      <c r="P51" s="4">
        <v>239.96</v>
      </c>
      <c r="Q51" s="8">
        <f t="shared" ca="1" si="0"/>
        <v>46173.713128356481</v>
      </c>
      <c r="R51" s="7">
        <f ca="1">DATEDIF(data[[#This Row],[Customer_Since]],data[[#This Row],[Timestamp]],"M")</f>
        <v>57</v>
      </c>
      <c r="S51">
        <f>COUNTIF($H$5:H51,H51)</f>
        <v>10</v>
      </c>
      <c r="T51">
        <f>COUNTIF($L$5:L51,L51)</f>
        <v>17</v>
      </c>
      <c r="U51">
        <f>COUNTIF($M$5:M51,M51)</f>
        <v>10</v>
      </c>
      <c r="V51" s="14">
        <f>EOMONTH(data[[#This Row],[Date]],0)</f>
        <v>45443</v>
      </c>
    </row>
    <row r="52" spans="2:22" ht="15.75" customHeight="1" x14ac:dyDescent="0.3">
      <c r="B52" s="4" t="s">
        <v>192</v>
      </c>
      <c r="C52" s="9">
        <v>45440</v>
      </c>
      <c r="D52" s="4" t="s">
        <v>157</v>
      </c>
      <c r="E52" s="4" t="str">
        <f>RIGHT(data[[#This Row],[Customer_ID]],3)</f>
        <v>006</v>
      </c>
      <c r="F52" s="4" t="s">
        <v>158</v>
      </c>
      <c r="G52" s="4" t="s">
        <v>145</v>
      </c>
      <c r="H52" s="4" t="s">
        <v>146</v>
      </c>
      <c r="I52" s="4" t="s">
        <v>47</v>
      </c>
      <c r="J52" s="4">
        <v>5</v>
      </c>
      <c r="K52" s="4">
        <v>89.99</v>
      </c>
      <c r="L52" s="4" t="s">
        <v>48</v>
      </c>
      <c r="M52" s="4" t="s">
        <v>49</v>
      </c>
      <c r="N52" s="4" t="s">
        <v>55</v>
      </c>
      <c r="O52" s="5">
        <v>44579</v>
      </c>
      <c r="P52" s="4">
        <v>449.95</v>
      </c>
      <c r="Q52" s="8">
        <f t="shared" ca="1" si="0"/>
        <v>46173.713128356481</v>
      </c>
      <c r="R52" s="7">
        <f ca="1">DATEDIF(data[[#This Row],[Customer_Since]],data[[#This Row],[Timestamp]],"M")</f>
        <v>52</v>
      </c>
      <c r="S52">
        <f>COUNTIF($H$5:H52,H52)</f>
        <v>6</v>
      </c>
      <c r="T52">
        <f>COUNTIF($L$5:L52,L52)</f>
        <v>18</v>
      </c>
      <c r="U52">
        <f>COUNTIF($M$5:M52,M52)</f>
        <v>6</v>
      </c>
      <c r="V52" s="14">
        <f>EOMONTH(data[[#This Row],[Date]],0)</f>
        <v>45443</v>
      </c>
    </row>
    <row r="53" spans="2:22" ht="15.75" customHeight="1" x14ac:dyDescent="0.3">
      <c r="B53" s="4" t="s">
        <v>193</v>
      </c>
      <c r="C53" s="9">
        <v>45441</v>
      </c>
      <c r="D53" s="4" t="s">
        <v>127</v>
      </c>
      <c r="E53" s="4" t="str">
        <f>RIGHT(data[[#This Row],[Customer_ID]],3)</f>
        <v>012</v>
      </c>
      <c r="F53" s="4" t="s">
        <v>128</v>
      </c>
      <c r="G53" s="4" t="s">
        <v>145</v>
      </c>
      <c r="H53" s="4" t="s">
        <v>146</v>
      </c>
      <c r="I53" s="4" t="s">
        <v>47</v>
      </c>
      <c r="J53" s="4">
        <v>2</v>
      </c>
      <c r="K53" s="4">
        <v>89.99</v>
      </c>
      <c r="L53" s="4" t="s">
        <v>54</v>
      </c>
      <c r="M53" s="4" t="s">
        <v>63</v>
      </c>
      <c r="N53" s="4" t="s">
        <v>55</v>
      </c>
      <c r="O53" s="5">
        <v>44471</v>
      </c>
      <c r="P53" s="4">
        <v>179.98</v>
      </c>
      <c r="Q53" s="8">
        <f t="shared" ca="1" si="0"/>
        <v>46173.713128356481</v>
      </c>
      <c r="R53" s="7">
        <f ca="1">DATEDIF(data[[#This Row],[Customer_Since]],data[[#This Row],[Timestamp]],"M")</f>
        <v>55</v>
      </c>
      <c r="S53">
        <f>COUNTIF($H$5:H53,H53)</f>
        <v>7</v>
      </c>
      <c r="T53">
        <f>COUNTIF($L$5:L53,L53)</f>
        <v>18</v>
      </c>
      <c r="U53">
        <f>COUNTIF($M$5:M53,M53)</f>
        <v>6</v>
      </c>
      <c r="V53" s="14">
        <f>EOMONTH(data[[#This Row],[Date]],0)</f>
        <v>45443</v>
      </c>
    </row>
    <row r="54" spans="2:22" ht="15.75" customHeight="1" x14ac:dyDescent="0.3">
      <c r="B54" s="4" t="s">
        <v>194</v>
      </c>
      <c r="C54" s="9">
        <v>45442</v>
      </c>
      <c r="D54" s="4" t="s">
        <v>43</v>
      </c>
      <c r="E54" s="4" t="str">
        <f>RIGHT(data[[#This Row],[Customer_ID]],3)</f>
        <v>023</v>
      </c>
      <c r="F54" s="4" t="s">
        <v>44</v>
      </c>
      <c r="G54" s="4" t="s">
        <v>89</v>
      </c>
      <c r="H54" s="4" t="s">
        <v>90</v>
      </c>
      <c r="I54" s="4" t="s">
        <v>47</v>
      </c>
      <c r="J54" s="4">
        <v>5</v>
      </c>
      <c r="K54" s="4">
        <v>899.99</v>
      </c>
      <c r="L54" s="4" t="s">
        <v>54</v>
      </c>
      <c r="M54" s="4" t="s">
        <v>63</v>
      </c>
      <c r="N54" s="4" t="s">
        <v>64</v>
      </c>
      <c r="O54" s="5">
        <v>44974</v>
      </c>
      <c r="P54" s="4">
        <v>4499.95</v>
      </c>
      <c r="Q54" s="8">
        <f t="shared" ca="1" si="0"/>
        <v>46173.713128356481</v>
      </c>
      <c r="R54" s="7">
        <f ca="1">DATEDIF(data[[#This Row],[Customer_Since]],data[[#This Row],[Timestamp]],"M")</f>
        <v>39</v>
      </c>
      <c r="S54">
        <f>COUNTIF($H$5:H54,H54)</f>
        <v>5</v>
      </c>
      <c r="T54">
        <f>COUNTIF($L$5:L54,L54)</f>
        <v>19</v>
      </c>
      <c r="U54">
        <f>COUNTIF($M$5:M54,M54)</f>
        <v>7</v>
      </c>
      <c r="V54" s="14">
        <f>EOMONTH(data[[#This Row],[Date]],0)</f>
        <v>45443</v>
      </c>
    </row>
    <row r="55" spans="2:22" ht="15.75" customHeight="1" x14ac:dyDescent="0.3">
      <c r="B55" s="4" t="s">
        <v>195</v>
      </c>
      <c r="C55" s="9">
        <v>45443</v>
      </c>
      <c r="D55" s="4" t="s">
        <v>151</v>
      </c>
      <c r="E55" s="4" t="str">
        <f>RIGHT(data[[#This Row],[Customer_ID]],3)</f>
        <v>029</v>
      </c>
      <c r="F55" s="4" t="s">
        <v>152</v>
      </c>
      <c r="G55" s="4" t="s">
        <v>89</v>
      </c>
      <c r="H55" s="4" t="s">
        <v>90</v>
      </c>
      <c r="I55" s="4" t="s">
        <v>47</v>
      </c>
      <c r="J55" s="4">
        <v>5</v>
      </c>
      <c r="K55" s="4">
        <v>899.99</v>
      </c>
      <c r="L55" s="4" t="s">
        <v>62</v>
      </c>
      <c r="M55" s="4" t="s">
        <v>91</v>
      </c>
      <c r="N55" s="4" t="s">
        <v>55</v>
      </c>
      <c r="O55" s="5">
        <v>45278</v>
      </c>
      <c r="P55" s="4">
        <v>4499.95</v>
      </c>
      <c r="Q55" s="8">
        <f t="shared" ca="1" si="0"/>
        <v>46173.713128356481</v>
      </c>
      <c r="R55" s="7">
        <f ca="1">DATEDIF(data[[#This Row],[Customer_Since]],data[[#This Row],[Timestamp]],"M")</f>
        <v>29</v>
      </c>
      <c r="S55">
        <f>COUNTIF($H$5:H55,H55)</f>
        <v>6</v>
      </c>
      <c r="T55">
        <f>COUNTIF($L$5:L55,L55)</f>
        <v>8</v>
      </c>
      <c r="U55">
        <f>COUNTIF($M$5:M55,M55)</f>
        <v>11</v>
      </c>
      <c r="V55" s="14">
        <f>EOMONTH(data[[#This Row],[Date]],0)</f>
        <v>45443</v>
      </c>
    </row>
    <row r="56" spans="2:22" ht="15.75" customHeight="1" x14ac:dyDescent="0.3">
      <c r="B56" s="4" t="s">
        <v>196</v>
      </c>
      <c r="C56" s="9">
        <v>45444</v>
      </c>
      <c r="D56" s="4" t="s">
        <v>186</v>
      </c>
      <c r="E56" s="4" t="str">
        <f>RIGHT(data[[#This Row],[Customer_ID]],3)</f>
        <v>028</v>
      </c>
      <c r="F56" s="4" t="s">
        <v>187</v>
      </c>
      <c r="G56" s="4" t="s">
        <v>59</v>
      </c>
      <c r="H56" s="4" t="s">
        <v>60</v>
      </c>
      <c r="I56" s="4" t="s">
        <v>61</v>
      </c>
      <c r="J56" s="4">
        <v>1</v>
      </c>
      <c r="K56" s="4">
        <v>59.99</v>
      </c>
      <c r="L56" s="4" t="s">
        <v>85</v>
      </c>
      <c r="M56" s="4" t="s">
        <v>78</v>
      </c>
      <c r="N56" s="4" t="s">
        <v>55</v>
      </c>
      <c r="O56" s="5">
        <v>45190</v>
      </c>
      <c r="P56" s="4">
        <v>59.99</v>
      </c>
      <c r="Q56" s="8">
        <f t="shared" ca="1" si="0"/>
        <v>46173.713128356481</v>
      </c>
      <c r="R56" s="7">
        <f ca="1">DATEDIF(data[[#This Row],[Customer_Since]],data[[#This Row],[Timestamp]],"M")</f>
        <v>32</v>
      </c>
      <c r="S56">
        <f>COUNTIF($H$5:H56,H56)</f>
        <v>11</v>
      </c>
      <c r="T56">
        <f>COUNTIF($L$5:L56,L56)</f>
        <v>7</v>
      </c>
      <c r="U56">
        <f>COUNTIF($M$5:M56,M56)</f>
        <v>14</v>
      </c>
      <c r="V56" s="14">
        <f>EOMONTH(data[[#This Row],[Date]],0)</f>
        <v>45473</v>
      </c>
    </row>
    <row r="57" spans="2:22" ht="15.75" customHeight="1" x14ac:dyDescent="0.3">
      <c r="B57" s="4" t="s">
        <v>197</v>
      </c>
      <c r="C57" s="9">
        <v>45445</v>
      </c>
      <c r="D57" s="4" t="s">
        <v>169</v>
      </c>
      <c r="E57" s="4" t="str">
        <f>RIGHT(data[[#This Row],[Customer_ID]],3)</f>
        <v>008</v>
      </c>
      <c r="F57" s="4" t="s">
        <v>170</v>
      </c>
      <c r="G57" s="4" t="s">
        <v>133</v>
      </c>
      <c r="H57" s="4" t="s">
        <v>134</v>
      </c>
      <c r="I57" s="4" t="s">
        <v>74</v>
      </c>
      <c r="J57" s="4">
        <v>2</v>
      </c>
      <c r="K57" s="4">
        <v>299.99</v>
      </c>
      <c r="L57" s="4" t="s">
        <v>85</v>
      </c>
      <c r="M57" s="4" t="s">
        <v>91</v>
      </c>
      <c r="N57" s="4" t="s">
        <v>64</v>
      </c>
      <c r="O57" s="5">
        <v>45253</v>
      </c>
      <c r="P57" s="4">
        <v>599.98</v>
      </c>
      <c r="Q57" s="8">
        <f t="shared" ca="1" si="0"/>
        <v>46173.713128356481</v>
      </c>
      <c r="R57" s="7">
        <f ca="1">DATEDIF(data[[#This Row],[Customer_Since]],data[[#This Row],[Timestamp]],"M")</f>
        <v>30</v>
      </c>
      <c r="S57">
        <f>COUNTIF($H$5:H57,H57)</f>
        <v>4</v>
      </c>
      <c r="T57">
        <f>COUNTIF($L$5:L57,L57)</f>
        <v>8</v>
      </c>
      <c r="U57">
        <f>COUNTIF($M$5:M57,M57)</f>
        <v>12</v>
      </c>
      <c r="V57" s="14">
        <f>EOMONTH(data[[#This Row],[Date]],0)</f>
        <v>45473</v>
      </c>
    </row>
    <row r="58" spans="2:22" ht="15.75" customHeight="1" x14ac:dyDescent="0.3">
      <c r="B58" s="4" t="s">
        <v>198</v>
      </c>
      <c r="C58" s="9">
        <v>45446</v>
      </c>
      <c r="D58" s="4" t="s">
        <v>199</v>
      </c>
      <c r="E58" s="4" t="str">
        <f>RIGHT(data[[#This Row],[Customer_ID]],3)</f>
        <v>049</v>
      </c>
      <c r="F58" s="4" t="s">
        <v>200</v>
      </c>
      <c r="G58" s="4" t="s">
        <v>145</v>
      </c>
      <c r="H58" s="4" t="s">
        <v>146</v>
      </c>
      <c r="I58" s="4" t="s">
        <v>47</v>
      </c>
      <c r="J58" s="4">
        <v>4</v>
      </c>
      <c r="K58" s="4">
        <v>89.99</v>
      </c>
      <c r="L58" s="4" t="s">
        <v>85</v>
      </c>
      <c r="M58" s="4" t="s">
        <v>63</v>
      </c>
      <c r="N58" s="4" t="s">
        <v>50</v>
      </c>
      <c r="O58" s="5">
        <v>45281</v>
      </c>
      <c r="P58" s="4">
        <v>359.96</v>
      </c>
      <c r="Q58" s="8">
        <f t="shared" ca="1" si="0"/>
        <v>46173.713128356481</v>
      </c>
      <c r="R58" s="7">
        <f ca="1">DATEDIF(data[[#This Row],[Customer_Since]],data[[#This Row],[Timestamp]],"M")</f>
        <v>29</v>
      </c>
      <c r="S58">
        <f>COUNTIF($H$5:H58,H58)</f>
        <v>8</v>
      </c>
      <c r="T58">
        <f>COUNTIF($L$5:L58,L58)</f>
        <v>9</v>
      </c>
      <c r="U58">
        <f>COUNTIF($M$5:M58,M58)</f>
        <v>8</v>
      </c>
      <c r="V58" s="14">
        <f>EOMONTH(data[[#This Row],[Date]],0)</f>
        <v>45473</v>
      </c>
    </row>
    <row r="59" spans="2:22" ht="15.75" customHeight="1" x14ac:dyDescent="0.3">
      <c r="B59" s="4" t="s">
        <v>201</v>
      </c>
      <c r="C59" s="9">
        <v>45447</v>
      </c>
      <c r="D59" s="4" t="s">
        <v>57</v>
      </c>
      <c r="E59" s="4" t="str">
        <f>RIGHT(data[[#This Row],[Customer_ID]],3)</f>
        <v>021</v>
      </c>
      <c r="F59" s="4" t="s">
        <v>58</v>
      </c>
      <c r="G59" s="4" t="s">
        <v>142</v>
      </c>
      <c r="H59" s="4" t="s">
        <v>143</v>
      </c>
      <c r="I59" s="4" t="s">
        <v>61</v>
      </c>
      <c r="J59" s="4">
        <v>1</v>
      </c>
      <c r="K59" s="4">
        <v>79.989999999999995</v>
      </c>
      <c r="L59" s="4" t="s">
        <v>62</v>
      </c>
      <c r="M59" s="4" t="s">
        <v>49</v>
      </c>
      <c r="N59" s="4" t="s">
        <v>55</v>
      </c>
      <c r="O59" s="5">
        <v>45352</v>
      </c>
      <c r="P59" s="4">
        <v>79.989999999999995</v>
      </c>
      <c r="Q59" s="8">
        <f t="shared" ca="1" si="0"/>
        <v>46173.713128356481</v>
      </c>
      <c r="R59" s="7">
        <f ca="1">DATEDIF(data[[#This Row],[Customer_Since]],data[[#This Row],[Timestamp]],"M")</f>
        <v>26</v>
      </c>
      <c r="S59">
        <f>COUNTIF($H$5:H59,H59)</f>
        <v>4</v>
      </c>
      <c r="T59">
        <f>COUNTIF($L$5:L59,L59)</f>
        <v>9</v>
      </c>
      <c r="U59">
        <f>COUNTIF($M$5:M59,M59)</f>
        <v>7</v>
      </c>
      <c r="V59" s="14">
        <f>EOMONTH(data[[#This Row],[Date]],0)</f>
        <v>45473</v>
      </c>
    </row>
    <row r="60" spans="2:22" ht="15.75" customHeight="1" x14ac:dyDescent="0.3">
      <c r="B60" s="4" t="s">
        <v>202</v>
      </c>
      <c r="C60" s="9">
        <v>45448</v>
      </c>
      <c r="D60" s="4" t="s">
        <v>87</v>
      </c>
      <c r="E60" s="4" t="str">
        <f>RIGHT(data[[#This Row],[Customer_ID]],3)</f>
        <v>009</v>
      </c>
      <c r="F60" s="4" t="s">
        <v>88</v>
      </c>
      <c r="G60" s="4" t="s">
        <v>145</v>
      </c>
      <c r="H60" s="4" t="s">
        <v>146</v>
      </c>
      <c r="I60" s="4" t="s">
        <v>47</v>
      </c>
      <c r="J60" s="4">
        <v>2</v>
      </c>
      <c r="K60" s="4">
        <v>89.99</v>
      </c>
      <c r="L60" s="4" t="s">
        <v>48</v>
      </c>
      <c r="M60" s="4" t="s">
        <v>78</v>
      </c>
      <c r="N60" s="4" t="s">
        <v>50</v>
      </c>
      <c r="O60" s="5">
        <v>44438</v>
      </c>
      <c r="P60" s="4">
        <v>179.98</v>
      </c>
      <c r="Q60" s="8">
        <f t="shared" ca="1" si="0"/>
        <v>46173.713128356481</v>
      </c>
      <c r="R60" s="7">
        <f ca="1">DATEDIF(data[[#This Row],[Customer_Since]],data[[#This Row],[Timestamp]],"M")</f>
        <v>57</v>
      </c>
      <c r="S60">
        <f>COUNTIF($H$5:H60,H60)</f>
        <v>9</v>
      </c>
      <c r="T60">
        <f>COUNTIF($L$5:L60,L60)</f>
        <v>19</v>
      </c>
      <c r="U60">
        <f>COUNTIF($M$5:M60,M60)</f>
        <v>15</v>
      </c>
      <c r="V60" s="14">
        <f>EOMONTH(data[[#This Row],[Date]],0)</f>
        <v>45473</v>
      </c>
    </row>
    <row r="61" spans="2:22" ht="15.75" customHeight="1" x14ac:dyDescent="0.3">
      <c r="B61" s="4" t="s">
        <v>203</v>
      </c>
      <c r="C61" s="9">
        <v>45449</v>
      </c>
      <c r="D61" s="4" t="s">
        <v>66</v>
      </c>
      <c r="E61" s="4" t="str">
        <f>RIGHT(data[[#This Row],[Customer_ID]],3)</f>
        <v>046</v>
      </c>
      <c r="F61" s="4" t="s">
        <v>67</v>
      </c>
      <c r="G61" s="4" t="s">
        <v>108</v>
      </c>
      <c r="H61" s="4" t="s">
        <v>109</v>
      </c>
      <c r="I61" s="4" t="s">
        <v>47</v>
      </c>
      <c r="J61" s="4">
        <v>3</v>
      </c>
      <c r="K61" s="4">
        <v>699.99</v>
      </c>
      <c r="L61" s="4" t="s">
        <v>54</v>
      </c>
      <c r="M61" s="4" t="s">
        <v>91</v>
      </c>
      <c r="N61" s="4" t="s">
        <v>55</v>
      </c>
      <c r="O61" s="5">
        <v>45102</v>
      </c>
      <c r="P61" s="4">
        <v>2099.9699999999998</v>
      </c>
      <c r="Q61" s="8">
        <f t="shared" ca="1" si="0"/>
        <v>46173.713128356481</v>
      </c>
      <c r="R61" s="7">
        <f ca="1">DATEDIF(data[[#This Row],[Customer_Since]],data[[#This Row],[Timestamp]],"M")</f>
        <v>35</v>
      </c>
      <c r="S61">
        <f>COUNTIF($H$5:H61,H61)</f>
        <v>6</v>
      </c>
      <c r="T61">
        <f>COUNTIF($L$5:L61,L61)</f>
        <v>20</v>
      </c>
      <c r="U61">
        <f>COUNTIF($M$5:M61,M61)</f>
        <v>13</v>
      </c>
      <c r="V61" s="14">
        <f>EOMONTH(data[[#This Row],[Date]],0)</f>
        <v>45473</v>
      </c>
    </row>
    <row r="62" spans="2:22" ht="15.75" customHeight="1" x14ac:dyDescent="0.3">
      <c r="B62" s="4" t="s">
        <v>204</v>
      </c>
      <c r="C62" s="9">
        <v>45450</v>
      </c>
      <c r="D62" s="4" t="s">
        <v>127</v>
      </c>
      <c r="E62" s="4" t="str">
        <f>RIGHT(data[[#This Row],[Customer_ID]],3)</f>
        <v>012</v>
      </c>
      <c r="F62" s="4" t="s">
        <v>128</v>
      </c>
      <c r="G62" s="4" t="s">
        <v>89</v>
      </c>
      <c r="H62" s="4" t="s">
        <v>90</v>
      </c>
      <c r="I62" s="4" t="s">
        <v>47</v>
      </c>
      <c r="J62" s="4">
        <v>4</v>
      </c>
      <c r="K62" s="4">
        <v>899.99</v>
      </c>
      <c r="L62" s="4" t="s">
        <v>54</v>
      </c>
      <c r="M62" s="4" t="s">
        <v>91</v>
      </c>
      <c r="N62" s="4" t="s">
        <v>55</v>
      </c>
      <c r="O62" s="5">
        <v>44993</v>
      </c>
      <c r="P62" s="4">
        <v>3599.96</v>
      </c>
      <c r="Q62" s="8">
        <f t="shared" ca="1" si="0"/>
        <v>46173.713128356481</v>
      </c>
      <c r="R62" s="7">
        <f ca="1">DATEDIF(data[[#This Row],[Customer_Since]],data[[#This Row],[Timestamp]],"M")</f>
        <v>38</v>
      </c>
      <c r="S62">
        <f>COUNTIF($H$5:H62,H62)</f>
        <v>7</v>
      </c>
      <c r="T62">
        <f>COUNTIF($L$5:L62,L62)</f>
        <v>21</v>
      </c>
      <c r="U62">
        <f>COUNTIF($M$5:M62,M62)</f>
        <v>14</v>
      </c>
      <c r="V62" s="14">
        <f>EOMONTH(data[[#This Row],[Date]],0)</f>
        <v>45473</v>
      </c>
    </row>
    <row r="63" spans="2:22" ht="15.75" customHeight="1" x14ac:dyDescent="0.3">
      <c r="B63" s="4" t="s">
        <v>205</v>
      </c>
      <c r="C63" s="9">
        <v>45451</v>
      </c>
      <c r="D63" s="4" t="s">
        <v>148</v>
      </c>
      <c r="E63" s="4" t="str">
        <f>RIGHT(data[[#This Row],[Customer_ID]],3)</f>
        <v>030</v>
      </c>
      <c r="F63" s="4" t="s">
        <v>149</v>
      </c>
      <c r="G63" s="4" t="s">
        <v>72</v>
      </c>
      <c r="H63" s="4" t="s">
        <v>73</v>
      </c>
      <c r="I63" s="4" t="s">
        <v>74</v>
      </c>
      <c r="J63" s="4">
        <v>1</v>
      </c>
      <c r="K63" s="4">
        <v>149.99</v>
      </c>
      <c r="L63" s="4" t="s">
        <v>62</v>
      </c>
      <c r="M63" s="4" t="s">
        <v>91</v>
      </c>
      <c r="N63" s="4" t="s">
        <v>50</v>
      </c>
      <c r="O63" s="5">
        <v>44851</v>
      </c>
      <c r="P63" s="4">
        <v>149.99</v>
      </c>
      <c r="Q63" s="8">
        <f t="shared" ca="1" si="0"/>
        <v>46173.713128356481</v>
      </c>
      <c r="R63" s="7">
        <f ca="1">DATEDIF(data[[#This Row],[Customer_Since]],data[[#This Row],[Timestamp]],"M")</f>
        <v>43</v>
      </c>
      <c r="S63">
        <f>COUNTIF($H$5:H63,H63)</f>
        <v>9</v>
      </c>
      <c r="T63">
        <f>COUNTIF($L$5:L63,L63)</f>
        <v>10</v>
      </c>
      <c r="U63">
        <f>COUNTIF($M$5:M63,M63)</f>
        <v>15</v>
      </c>
      <c r="V63" s="14">
        <f>EOMONTH(data[[#This Row],[Date]],0)</f>
        <v>45473</v>
      </c>
    </row>
    <row r="64" spans="2:22" ht="15.75" customHeight="1" x14ac:dyDescent="0.3">
      <c r="B64" s="4" t="s">
        <v>206</v>
      </c>
      <c r="C64" s="9">
        <v>45452</v>
      </c>
      <c r="D64" s="4" t="s">
        <v>160</v>
      </c>
      <c r="E64" s="4" t="str">
        <f>RIGHT(data[[#This Row],[Customer_ID]],3)</f>
        <v>002</v>
      </c>
      <c r="F64" s="4" t="s">
        <v>161</v>
      </c>
      <c r="G64" s="4" t="s">
        <v>145</v>
      </c>
      <c r="H64" s="4" t="s">
        <v>146</v>
      </c>
      <c r="I64" s="4" t="s">
        <v>47</v>
      </c>
      <c r="J64" s="4">
        <v>2</v>
      </c>
      <c r="K64" s="4">
        <v>89.99</v>
      </c>
      <c r="L64" s="4" t="s">
        <v>62</v>
      </c>
      <c r="M64" s="4" t="s">
        <v>49</v>
      </c>
      <c r="N64" s="4" t="s">
        <v>55</v>
      </c>
      <c r="O64" s="5">
        <v>45275</v>
      </c>
      <c r="P64" s="4">
        <v>179.98</v>
      </c>
      <c r="Q64" s="8">
        <f t="shared" ca="1" si="0"/>
        <v>46173.713128356481</v>
      </c>
      <c r="R64" s="7">
        <f ca="1">DATEDIF(data[[#This Row],[Customer_Since]],data[[#This Row],[Timestamp]],"M")</f>
        <v>29</v>
      </c>
      <c r="S64">
        <f>COUNTIF($H$5:H64,H64)</f>
        <v>10</v>
      </c>
      <c r="T64">
        <f>COUNTIF($L$5:L64,L64)</f>
        <v>11</v>
      </c>
      <c r="U64">
        <f>COUNTIF($M$5:M64,M64)</f>
        <v>8</v>
      </c>
      <c r="V64" s="14">
        <f>EOMONTH(data[[#This Row],[Date]],0)</f>
        <v>45473</v>
      </c>
    </row>
    <row r="65" spans="2:22" ht="15.75" customHeight="1" x14ac:dyDescent="0.3">
      <c r="B65" s="4" t="s">
        <v>207</v>
      </c>
      <c r="C65" s="9">
        <v>45453</v>
      </c>
      <c r="D65" s="4" t="s">
        <v>83</v>
      </c>
      <c r="E65" s="4" t="str">
        <f>RIGHT(data[[#This Row],[Customer_ID]],3)</f>
        <v>017</v>
      </c>
      <c r="F65" s="4" t="s">
        <v>84</v>
      </c>
      <c r="G65" s="4" t="s">
        <v>145</v>
      </c>
      <c r="H65" s="4" t="s">
        <v>146</v>
      </c>
      <c r="I65" s="4" t="s">
        <v>47</v>
      </c>
      <c r="J65" s="4">
        <v>1</v>
      </c>
      <c r="K65" s="4">
        <v>89.99</v>
      </c>
      <c r="L65" s="4" t="s">
        <v>62</v>
      </c>
      <c r="M65" s="4" t="s">
        <v>78</v>
      </c>
      <c r="N65" s="4" t="s">
        <v>64</v>
      </c>
      <c r="O65" s="5">
        <v>44802</v>
      </c>
      <c r="P65" s="4">
        <v>89.99</v>
      </c>
      <c r="Q65" s="8">
        <f t="shared" ca="1" si="0"/>
        <v>46173.713128356481</v>
      </c>
      <c r="R65" s="7">
        <f ca="1">DATEDIF(data[[#This Row],[Customer_Since]],data[[#This Row],[Timestamp]],"M")</f>
        <v>45</v>
      </c>
      <c r="S65">
        <f>COUNTIF($H$5:H65,H65)</f>
        <v>11</v>
      </c>
      <c r="T65">
        <f>COUNTIF($L$5:L65,L65)</f>
        <v>12</v>
      </c>
      <c r="U65">
        <f>COUNTIF($M$5:M65,M65)</f>
        <v>16</v>
      </c>
      <c r="V65" s="14">
        <f>EOMONTH(data[[#This Row],[Date]],0)</f>
        <v>45473</v>
      </c>
    </row>
    <row r="66" spans="2:22" ht="15.75" customHeight="1" x14ac:dyDescent="0.3">
      <c r="B66" s="4" t="s">
        <v>208</v>
      </c>
      <c r="C66" s="9">
        <v>45454</v>
      </c>
      <c r="D66" s="4" t="s">
        <v>96</v>
      </c>
      <c r="E66" s="4" t="str">
        <f>RIGHT(data[[#This Row],[Customer_ID]],3)</f>
        <v>022</v>
      </c>
      <c r="F66" s="4" t="s">
        <v>97</v>
      </c>
      <c r="G66" s="4" t="s">
        <v>145</v>
      </c>
      <c r="H66" s="4" t="s">
        <v>146</v>
      </c>
      <c r="I66" s="4" t="s">
        <v>47</v>
      </c>
      <c r="J66" s="4">
        <v>1</v>
      </c>
      <c r="K66" s="4">
        <v>89.99</v>
      </c>
      <c r="L66" s="4" t="s">
        <v>48</v>
      </c>
      <c r="M66" s="4" t="s">
        <v>63</v>
      </c>
      <c r="N66" s="4" t="s">
        <v>64</v>
      </c>
      <c r="O66" s="5">
        <v>44611</v>
      </c>
      <c r="P66" s="4">
        <v>89.99</v>
      </c>
      <c r="Q66" s="8">
        <f t="shared" ca="1" si="0"/>
        <v>46173.713128356481</v>
      </c>
      <c r="R66" s="7">
        <f ca="1">DATEDIF(data[[#This Row],[Customer_Since]],data[[#This Row],[Timestamp]],"M")</f>
        <v>51</v>
      </c>
      <c r="S66">
        <f>COUNTIF($H$5:H66,H66)</f>
        <v>12</v>
      </c>
      <c r="T66">
        <f>COUNTIF($L$5:L66,L66)</f>
        <v>20</v>
      </c>
      <c r="U66">
        <f>COUNTIF($M$5:M66,M66)</f>
        <v>9</v>
      </c>
      <c r="V66" s="14">
        <f>EOMONTH(data[[#This Row],[Date]],0)</f>
        <v>45473</v>
      </c>
    </row>
    <row r="67" spans="2:22" ht="15.75" customHeight="1" x14ac:dyDescent="0.3">
      <c r="B67" s="4" t="s">
        <v>209</v>
      </c>
      <c r="C67" s="9">
        <v>45455</v>
      </c>
      <c r="D67" s="4" t="s">
        <v>210</v>
      </c>
      <c r="E67" s="4" t="str">
        <f>RIGHT(data[[#This Row],[Customer_ID]],3)</f>
        <v>007</v>
      </c>
      <c r="F67" s="4" t="s">
        <v>211</v>
      </c>
      <c r="G67" s="4" t="s">
        <v>142</v>
      </c>
      <c r="H67" s="4" t="s">
        <v>143</v>
      </c>
      <c r="I67" s="4" t="s">
        <v>61</v>
      </c>
      <c r="J67" s="4">
        <v>5</v>
      </c>
      <c r="K67" s="4">
        <v>79.989999999999995</v>
      </c>
      <c r="L67" s="4" t="s">
        <v>85</v>
      </c>
      <c r="M67" s="4" t="s">
        <v>49</v>
      </c>
      <c r="N67" s="4" t="s">
        <v>50</v>
      </c>
      <c r="O67" s="5">
        <v>44981</v>
      </c>
      <c r="P67" s="4">
        <v>399.95</v>
      </c>
      <c r="Q67" s="8">
        <f t="shared" ca="1" si="0"/>
        <v>46173.713128356481</v>
      </c>
      <c r="R67" s="7">
        <f ca="1">DATEDIF(data[[#This Row],[Customer_Since]],data[[#This Row],[Timestamp]],"M")</f>
        <v>39</v>
      </c>
      <c r="S67">
        <f>COUNTIF($H$5:H67,H67)</f>
        <v>5</v>
      </c>
      <c r="T67">
        <f>COUNTIF($L$5:L67,L67)</f>
        <v>10</v>
      </c>
      <c r="U67">
        <f>COUNTIF($M$5:M67,M67)</f>
        <v>9</v>
      </c>
      <c r="V67" s="14">
        <f>EOMONTH(data[[#This Row],[Date]],0)</f>
        <v>45473</v>
      </c>
    </row>
    <row r="68" spans="2:22" ht="15.75" customHeight="1" x14ac:dyDescent="0.3">
      <c r="B68" s="4" t="s">
        <v>212</v>
      </c>
      <c r="C68" s="9">
        <v>45456</v>
      </c>
      <c r="D68" s="4" t="s">
        <v>213</v>
      </c>
      <c r="E68" s="4" t="str">
        <f>RIGHT(data[[#This Row],[Customer_ID]],3)</f>
        <v>020</v>
      </c>
      <c r="F68" s="4" t="s">
        <v>214</v>
      </c>
      <c r="G68" s="4" t="s">
        <v>72</v>
      </c>
      <c r="H68" s="4" t="s">
        <v>73</v>
      </c>
      <c r="I68" s="4" t="s">
        <v>74</v>
      </c>
      <c r="J68" s="4">
        <v>1</v>
      </c>
      <c r="K68" s="4">
        <v>149.99</v>
      </c>
      <c r="L68" s="4" t="s">
        <v>62</v>
      </c>
      <c r="M68" s="4" t="s">
        <v>68</v>
      </c>
      <c r="N68" s="4" t="s">
        <v>50</v>
      </c>
      <c r="O68" s="5">
        <v>44421</v>
      </c>
      <c r="P68" s="4">
        <v>149.99</v>
      </c>
      <c r="Q68" s="8">
        <f t="shared" ca="1" si="0"/>
        <v>46173.713128356481</v>
      </c>
      <c r="R68" s="7">
        <f ca="1">DATEDIF(data[[#This Row],[Customer_Since]],data[[#This Row],[Timestamp]],"M")</f>
        <v>57</v>
      </c>
      <c r="S68">
        <f>COUNTIF($H$5:H68,H68)</f>
        <v>10</v>
      </c>
      <c r="T68">
        <f>COUNTIF($L$5:L68,L68)</f>
        <v>13</v>
      </c>
      <c r="U68">
        <f>COUNTIF($M$5:M68,M68)</f>
        <v>15</v>
      </c>
      <c r="V68" s="14">
        <f>EOMONTH(data[[#This Row],[Date]],0)</f>
        <v>45473</v>
      </c>
    </row>
    <row r="69" spans="2:22" ht="15.75" customHeight="1" x14ac:dyDescent="0.3">
      <c r="B69" s="4" t="s">
        <v>215</v>
      </c>
      <c r="C69" s="9">
        <v>45457</v>
      </c>
      <c r="D69" s="4" t="s">
        <v>70</v>
      </c>
      <c r="E69" s="4" t="str">
        <f>RIGHT(data[[#This Row],[Customer_ID]],3)</f>
        <v>003</v>
      </c>
      <c r="F69" s="4" t="s">
        <v>71</v>
      </c>
      <c r="G69" s="4" t="s">
        <v>108</v>
      </c>
      <c r="H69" s="4" t="s">
        <v>109</v>
      </c>
      <c r="I69" s="4" t="s">
        <v>47</v>
      </c>
      <c r="J69" s="4">
        <v>2</v>
      </c>
      <c r="K69" s="4">
        <v>699.99</v>
      </c>
      <c r="L69" s="4" t="s">
        <v>62</v>
      </c>
      <c r="M69" s="4" t="s">
        <v>91</v>
      </c>
      <c r="N69" s="4" t="s">
        <v>55</v>
      </c>
      <c r="O69" s="5">
        <v>45389</v>
      </c>
      <c r="P69" s="4">
        <v>1399.98</v>
      </c>
      <c r="Q69" s="8">
        <f t="shared" ref="Q69:Q132" ca="1" si="1">NOW()</f>
        <v>46173.713128356481</v>
      </c>
      <c r="R69" s="7">
        <f ca="1">DATEDIF(data[[#This Row],[Customer_Since]],data[[#This Row],[Timestamp]],"M")</f>
        <v>25</v>
      </c>
      <c r="S69">
        <f>COUNTIF($H$5:H69,H69)</f>
        <v>7</v>
      </c>
      <c r="T69">
        <f>COUNTIF($L$5:L69,L69)</f>
        <v>14</v>
      </c>
      <c r="U69">
        <f>COUNTIF($M$5:M69,M69)</f>
        <v>16</v>
      </c>
      <c r="V69" s="14">
        <f>EOMONTH(data[[#This Row],[Date]],0)</f>
        <v>45473</v>
      </c>
    </row>
    <row r="70" spans="2:22" ht="15.75" customHeight="1" x14ac:dyDescent="0.3">
      <c r="B70" s="4" t="s">
        <v>216</v>
      </c>
      <c r="C70" s="9">
        <v>45458</v>
      </c>
      <c r="D70" s="4" t="s">
        <v>124</v>
      </c>
      <c r="E70" s="4" t="str">
        <f>RIGHT(data[[#This Row],[Customer_ID]],3)</f>
        <v>018</v>
      </c>
      <c r="F70" s="4" t="s">
        <v>125</v>
      </c>
      <c r="G70" s="4" t="s">
        <v>145</v>
      </c>
      <c r="H70" s="4" t="s">
        <v>146</v>
      </c>
      <c r="I70" s="4" t="s">
        <v>47</v>
      </c>
      <c r="J70" s="4">
        <v>5</v>
      </c>
      <c r="K70" s="4">
        <v>89.99</v>
      </c>
      <c r="L70" s="4" t="s">
        <v>85</v>
      </c>
      <c r="M70" s="4" t="s">
        <v>68</v>
      </c>
      <c r="N70" s="4" t="s">
        <v>55</v>
      </c>
      <c r="O70" s="5">
        <v>45161</v>
      </c>
      <c r="P70" s="4">
        <v>449.95</v>
      </c>
      <c r="Q70" s="8">
        <f t="shared" ca="1" si="1"/>
        <v>46173.713128356481</v>
      </c>
      <c r="R70" s="7">
        <f ca="1">DATEDIF(data[[#This Row],[Customer_Since]],data[[#This Row],[Timestamp]],"M")</f>
        <v>33</v>
      </c>
      <c r="S70">
        <f>COUNTIF($H$5:H70,H70)</f>
        <v>13</v>
      </c>
      <c r="T70">
        <f>COUNTIF($L$5:L70,L70)</f>
        <v>11</v>
      </c>
      <c r="U70">
        <f>COUNTIF($M$5:M70,M70)</f>
        <v>16</v>
      </c>
      <c r="V70" s="14">
        <f>EOMONTH(data[[#This Row],[Date]],0)</f>
        <v>45473</v>
      </c>
    </row>
    <row r="71" spans="2:22" ht="15.75" customHeight="1" x14ac:dyDescent="0.3">
      <c r="B71" s="4" t="s">
        <v>217</v>
      </c>
      <c r="C71" s="9">
        <v>45459</v>
      </c>
      <c r="D71" s="4" t="s">
        <v>199</v>
      </c>
      <c r="E71" s="4" t="str">
        <f>RIGHT(data[[#This Row],[Customer_ID]],3)</f>
        <v>049</v>
      </c>
      <c r="F71" s="4" t="s">
        <v>200</v>
      </c>
      <c r="G71" s="4" t="s">
        <v>59</v>
      </c>
      <c r="H71" s="4" t="s">
        <v>60</v>
      </c>
      <c r="I71" s="4" t="s">
        <v>61</v>
      </c>
      <c r="J71" s="4">
        <v>4</v>
      </c>
      <c r="K71" s="4">
        <v>59.99</v>
      </c>
      <c r="L71" s="4" t="s">
        <v>48</v>
      </c>
      <c r="M71" s="4" t="s">
        <v>63</v>
      </c>
      <c r="N71" s="4" t="s">
        <v>64</v>
      </c>
      <c r="O71" s="5">
        <v>44509</v>
      </c>
      <c r="P71" s="4">
        <v>239.96</v>
      </c>
      <c r="Q71" s="8">
        <f t="shared" ca="1" si="1"/>
        <v>46173.713128356481</v>
      </c>
      <c r="R71" s="7">
        <f ca="1">DATEDIF(data[[#This Row],[Customer_Since]],data[[#This Row],[Timestamp]],"M")</f>
        <v>54</v>
      </c>
      <c r="S71">
        <f>COUNTIF($H$5:H71,H71)</f>
        <v>12</v>
      </c>
      <c r="T71">
        <f>COUNTIF($L$5:L71,L71)</f>
        <v>21</v>
      </c>
      <c r="U71">
        <f>COUNTIF($M$5:M71,M71)</f>
        <v>10</v>
      </c>
      <c r="V71" s="14">
        <f>EOMONTH(data[[#This Row],[Date]],0)</f>
        <v>45473</v>
      </c>
    </row>
    <row r="72" spans="2:22" ht="15.75" customHeight="1" x14ac:dyDescent="0.3">
      <c r="B72" s="4" t="s">
        <v>218</v>
      </c>
      <c r="C72" s="9">
        <v>45460</v>
      </c>
      <c r="D72" s="4" t="s">
        <v>52</v>
      </c>
      <c r="E72" s="4" t="str">
        <f>RIGHT(data[[#This Row],[Customer_ID]],3)</f>
        <v>013</v>
      </c>
      <c r="F72" s="4" t="s">
        <v>53</v>
      </c>
      <c r="G72" s="4" t="s">
        <v>80</v>
      </c>
      <c r="H72" s="4" t="s">
        <v>81</v>
      </c>
      <c r="I72" s="4" t="s">
        <v>47</v>
      </c>
      <c r="J72" s="4">
        <v>1</v>
      </c>
      <c r="K72" s="4">
        <v>149.99</v>
      </c>
      <c r="L72" s="4" t="s">
        <v>48</v>
      </c>
      <c r="M72" s="4" t="s">
        <v>49</v>
      </c>
      <c r="N72" s="4" t="s">
        <v>64</v>
      </c>
      <c r="O72" s="5">
        <v>44909</v>
      </c>
      <c r="P72" s="4">
        <v>149.99</v>
      </c>
      <c r="Q72" s="8">
        <f t="shared" ca="1" si="1"/>
        <v>46173.713128356481</v>
      </c>
      <c r="R72" s="7">
        <f ca="1">DATEDIF(data[[#This Row],[Customer_Since]],data[[#This Row],[Timestamp]],"M")</f>
        <v>41</v>
      </c>
      <c r="S72">
        <f>COUNTIF($H$5:H72,H72)</f>
        <v>2</v>
      </c>
      <c r="T72">
        <f>COUNTIF($L$5:L72,L72)</f>
        <v>22</v>
      </c>
      <c r="U72">
        <f>COUNTIF($M$5:M72,M72)</f>
        <v>10</v>
      </c>
      <c r="V72" s="14">
        <f>EOMONTH(data[[#This Row],[Date]],0)</f>
        <v>45473</v>
      </c>
    </row>
    <row r="73" spans="2:22" ht="15.75" customHeight="1" x14ac:dyDescent="0.3">
      <c r="B73" s="4" t="s">
        <v>219</v>
      </c>
      <c r="C73" s="9">
        <v>45461</v>
      </c>
      <c r="D73" s="4" t="s">
        <v>220</v>
      </c>
      <c r="E73" s="4" t="str">
        <f>RIGHT(data[[#This Row],[Customer_ID]],3)</f>
        <v>033</v>
      </c>
      <c r="F73" s="4" t="s">
        <v>221</v>
      </c>
      <c r="G73" s="4" t="s">
        <v>133</v>
      </c>
      <c r="H73" s="4" t="s">
        <v>134</v>
      </c>
      <c r="I73" s="4" t="s">
        <v>74</v>
      </c>
      <c r="J73" s="4">
        <v>1</v>
      </c>
      <c r="K73" s="4">
        <v>299.99</v>
      </c>
      <c r="L73" s="4" t="s">
        <v>54</v>
      </c>
      <c r="M73" s="4" t="s">
        <v>68</v>
      </c>
      <c r="N73" s="4" t="s">
        <v>55</v>
      </c>
      <c r="O73" s="5">
        <v>44891</v>
      </c>
      <c r="P73" s="4">
        <v>299.99</v>
      </c>
      <c r="Q73" s="8">
        <f t="shared" ca="1" si="1"/>
        <v>46173.713128356481</v>
      </c>
      <c r="R73" s="7">
        <f ca="1">DATEDIF(data[[#This Row],[Customer_Since]],data[[#This Row],[Timestamp]],"M")</f>
        <v>42</v>
      </c>
      <c r="S73">
        <f>COUNTIF($H$5:H73,H73)</f>
        <v>5</v>
      </c>
      <c r="T73">
        <f>COUNTIF($L$5:L73,L73)</f>
        <v>22</v>
      </c>
      <c r="U73">
        <f>COUNTIF($M$5:M73,M73)</f>
        <v>17</v>
      </c>
      <c r="V73" s="14">
        <f>EOMONTH(data[[#This Row],[Date]],0)</f>
        <v>45473</v>
      </c>
    </row>
    <row r="74" spans="2:22" ht="15.75" customHeight="1" x14ac:dyDescent="0.3">
      <c r="B74" s="4" t="s">
        <v>222</v>
      </c>
      <c r="C74" s="9">
        <v>45462</v>
      </c>
      <c r="D74" s="4" t="s">
        <v>220</v>
      </c>
      <c r="E74" s="4" t="str">
        <f>RIGHT(data[[#This Row],[Customer_ID]],3)</f>
        <v>033</v>
      </c>
      <c r="F74" s="4" t="s">
        <v>221</v>
      </c>
      <c r="G74" s="4" t="s">
        <v>154</v>
      </c>
      <c r="H74" s="4" t="s">
        <v>155</v>
      </c>
      <c r="I74" s="4" t="s">
        <v>74</v>
      </c>
      <c r="J74" s="4">
        <v>2</v>
      </c>
      <c r="K74" s="4">
        <v>199.99</v>
      </c>
      <c r="L74" s="4" t="s">
        <v>48</v>
      </c>
      <c r="M74" s="4" t="s">
        <v>68</v>
      </c>
      <c r="N74" s="4" t="s">
        <v>50</v>
      </c>
      <c r="O74" s="5">
        <v>44541</v>
      </c>
      <c r="P74" s="4">
        <v>399.98</v>
      </c>
      <c r="Q74" s="8">
        <f t="shared" ca="1" si="1"/>
        <v>46173.713128356481</v>
      </c>
      <c r="R74" s="7">
        <f ca="1">DATEDIF(data[[#This Row],[Customer_Since]],data[[#This Row],[Timestamp]],"M")</f>
        <v>53</v>
      </c>
      <c r="S74">
        <f>COUNTIF($H$5:H74,H74)</f>
        <v>3</v>
      </c>
      <c r="T74">
        <f>COUNTIF($L$5:L74,L74)</f>
        <v>23</v>
      </c>
      <c r="U74">
        <f>COUNTIF($M$5:M74,M74)</f>
        <v>18</v>
      </c>
      <c r="V74" s="14">
        <f>EOMONTH(data[[#This Row],[Date]],0)</f>
        <v>45473</v>
      </c>
    </row>
    <row r="75" spans="2:22" ht="15.75" customHeight="1" x14ac:dyDescent="0.3">
      <c r="B75" s="4" t="s">
        <v>223</v>
      </c>
      <c r="C75" s="9">
        <v>45463</v>
      </c>
      <c r="D75" s="4" t="s">
        <v>224</v>
      </c>
      <c r="E75" s="4" t="str">
        <f>RIGHT(data[[#This Row],[Customer_ID]],3)</f>
        <v>047</v>
      </c>
      <c r="F75" s="4" t="s">
        <v>225</v>
      </c>
      <c r="G75" s="4" t="s">
        <v>59</v>
      </c>
      <c r="H75" s="4" t="s">
        <v>60</v>
      </c>
      <c r="I75" s="4" t="s">
        <v>61</v>
      </c>
      <c r="J75" s="4">
        <v>3</v>
      </c>
      <c r="K75" s="4">
        <v>59.99</v>
      </c>
      <c r="L75" s="4" t="s">
        <v>54</v>
      </c>
      <c r="M75" s="4" t="s">
        <v>78</v>
      </c>
      <c r="N75" s="4" t="s">
        <v>50</v>
      </c>
      <c r="O75" s="5">
        <v>45130</v>
      </c>
      <c r="P75" s="4">
        <v>179.97</v>
      </c>
      <c r="Q75" s="8">
        <f t="shared" ca="1" si="1"/>
        <v>46173.713128356481</v>
      </c>
      <c r="R75" s="7">
        <f ca="1">DATEDIF(data[[#This Row],[Customer_Since]],data[[#This Row],[Timestamp]],"M")</f>
        <v>34</v>
      </c>
      <c r="S75">
        <f>COUNTIF($H$5:H75,H75)</f>
        <v>13</v>
      </c>
      <c r="T75">
        <f>COUNTIF($L$5:L75,L75)</f>
        <v>23</v>
      </c>
      <c r="U75">
        <f>COUNTIF($M$5:M75,M75)</f>
        <v>17</v>
      </c>
      <c r="V75" s="14">
        <f>EOMONTH(data[[#This Row],[Date]],0)</f>
        <v>45473</v>
      </c>
    </row>
    <row r="76" spans="2:22" ht="15.75" customHeight="1" x14ac:dyDescent="0.3">
      <c r="B76" s="4" t="s">
        <v>226</v>
      </c>
      <c r="C76" s="9">
        <v>45464</v>
      </c>
      <c r="D76" s="4" t="s">
        <v>100</v>
      </c>
      <c r="E76" s="4" t="str">
        <f>RIGHT(data[[#This Row],[Customer_ID]],3)</f>
        <v>041</v>
      </c>
      <c r="F76" s="4" t="s">
        <v>101</v>
      </c>
      <c r="G76" s="4" t="s">
        <v>72</v>
      </c>
      <c r="H76" s="4" t="s">
        <v>73</v>
      </c>
      <c r="I76" s="4" t="s">
        <v>74</v>
      </c>
      <c r="J76" s="4">
        <v>3</v>
      </c>
      <c r="K76" s="4">
        <v>149.99</v>
      </c>
      <c r="L76" s="4" t="s">
        <v>48</v>
      </c>
      <c r="M76" s="4" t="s">
        <v>49</v>
      </c>
      <c r="N76" s="4" t="s">
        <v>55</v>
      </c>
      <c r="O76" s="5">
        <v>45199</v>
      </c>
      <c r="P76" s="4">
        <v>449.97</v>
      </c>
      <c r="Q76" s="8">
        <f t="shared" ca="1" si="1"/>
        <v>46173.713128356481</v>
      </c>
      <c r="R76" s="7">
        <f ca="1">DATEDIF(data[[#This Row],[Customer_Since]],data[[#This Row],[Timestamp]],"M")</f>
        <v>32</v>
      </c>
      <c r="S76">
        <f>COUNTIF($H$5:H76,H76)</f>
        <v>11</v>
      </c>
      <c r="T76">
        <f>COUNTIF($L$5:L76,L76)</f>
        <v>24</v>
      </c>
      <c r="U76">
        <f>COUNTIF($M$5:M76,M76)</f>
        <v>11</v>
      </c>
      <c r="V76" s="14">
        <f>EOMONTH(data[[#This Row],[Date]],0)</f>
        <v>45473</v>
      </c>
    </row>
    <row r="77" spans="2:22" ht="15.75" customHeight="1" x14ac:dyDescent="0.3">
      <c r="B77" s="4" t="s">
        <v>227</v>
      </c>
      <c r="C77" s="9">
        <v>45465</v>
      </c>
      <c r="D77" s="4" t="s">
        <v>93</v>
      </c>
      <c r="E77" s="4" t="str">
        <f>RIGHT(data[[#This Row],[Customer_ID]],3)</f>
        <v>026</v>
      </c>
      <c r="F77" s="4" t="s">
        <v>94</v>
      </c>
      <c r="G77" s="4" t="s">
        <v>154</v>
      </c>
      <c r="H77" s="4" t="s">
        <v>155</v>
      </c>
      <c r="I77" s="4" t="s">
        <v>74</v>
      </c>
      <c r="J77" s="4">
        <v>3</v>
      </c>
      <c r="K77" s="4">
        <v>199.99</v>
      </c>
      <c r="L77" s="4" t="s">
        <v>48</v>
      </c>
      <c r="M77" s="4" t="s">
        <v>68</v>
      </c>
      <c r="N77" s="4" t="s">
        <v>55</v>
      </c>
      <c r="O77" s="5">
        <v>45254</v>
      </c>
      <c r="P77" s="4">
        <v>599.97</v>
      </c>
      <c r="Q77" s="8">
        <f t="shared" ca="1" si="1"/>
        <v>46173.713128356481</v>
      </c>
      <c r="R77" s="7">
        <f ca="1">DATEDIF(data[[#This Row],[Customer_Since]],data[[#This Row],[Timestamp]],"M")</f>
        <v>30</v>
      </c>
      <c r="S77">
        <f>COUNTIF($H$5:H77,H77)</f>
        <v>4</v>
      </c>
      <c r="T77">
        <f>COUNTIF($L$5:L77,L77)</f>
        <v>25</v>
      </c>
      <c r="U77">
        <f>COUNTIF($M$5:M77,M77)</f>
        <v>19</v>
      </c>
      <c r="V77" s="14">
        <f>EOMONTH(data[[#This Row],[Date]],0)</f>
        <v>45473</v>
      </c>
    </row>
    <row r="78" spans="2:22" ht="15.75" customHeight="1" x14ac:dyDescent="0.3">
      <c r="B78" s="4" t="s">
        <v>228</v>
      </c>
      <c r="C78" s="9">
        <v>45466</v>
      </c>
      <c r="D78" s="4" t="s">
        <v>178</v>
      </c>
      <c r="E78" s="4" t="str">
        <f>RIGHT(data[[#This Row],[Customer_ID]],3)</f>
        <v>040</v>
      </c>
      <c r="F78" s="4" t="s">
        <v>179</v>
      </c>
      <c r="G78" s="4" t="s">
        <v>89</v>
      </c>
      <c r="H78" s="4" t="s">
        <v>90</v>
      </c>
      <c r="I78" s="4" t="s">
        <v>47</v>
      </c>
      <c r="J78" s="4">
        <v>1</v>
      </c>
      <c r="K78" s="4">
        <v>899.99</v>
      </c>
      <c r="L78" s="4" t="s">
        <v>48</v>
      </c>
      <c r="M78" s="4" t="s">
        <v>49</v>
      </c>
      <c r="N78" s="4" t="s">
        <v>64</v>
      </c>
      <c r="O78" s="5">
        <v>45179</v>
      </c>
      <c r="P78" s="4">
        <v>899.99</v>
      </c>
      <c r="Q78" s="8">
        <f t="shared" ca="1" si="1"/>
        <v>46173.713128356481</v>
      </c>
      <c r="R78" s="7">
        <f ca="1">DATEDIF(data[[#This Row],[Customer_Since]],data[[#This Row],[Timestamp]],"M")</f>
        <v>32</v>
      </c>
      <c r="S78">
        <f>COUNTIF($H$5:H78,H78)</f>
        <v>8</v>
      </c>
      <c r="T78">
        <f>COUNTIF($L$5:L78,L78)</f>
        <v>26</v>
      </c>
      <c r="U78">
        <f>COUNTIF($M$5:M78,M78)</f>
        <v>12</v>
      </c>
      <c r="V78" s="14">
        <f>EOMONTH(data[[#This Row],[Date]],0)</f>
        <v>45473</v>
      </c>
    </row>
    <row r="79" spans="2:22" ht="15.75" customHeight="1" x14ac:dyDescent="0.3">
      <c r="B79" s="4" t="s">
        <v>229</v>
      </c>
      <c r="C79" s="9">
        <v>45467</v>
      </c>
      <c r="D79" s="4" t="s">
        <v>52</v>
      </c>
      <c r="E79" s="4" t="str">
        <f>RIGHT(data[[#This Row],[Customer_ID]],3)</f>
        <v>013</v>
      </c>
      <c r="F79" s="4" t="s">
        <v>53</v>
      </c>
      <c r="G79" s="4" t="s">
        <v>89</v>
      </c>
      <c r="H79" s="4" t="s">
        <v>90</v>
      </c>
      <c r="I79" s="4" t="s">
        <v>47</v>
      </c>
      <c r="J79" s="4">
        <v>5</v>
      </c>
      <c r="K79" s="4">
        <v>899.99</v>
      </c>
      <c r="L79" s="4" t="s">
        <v>85</v>
      </c>
      <c r="M79" s="4" t="s">
        <v>63</v>
      </c>
      <c r="N79" s="4" t="s">
        <v>64</v>
      </c>
      <c r="O79" s="5">
        <v>44899</v>
      </c>
      <c r="P79" s="4">
        <v>4499.95</v>
      </c>
      <c r="Q79" s="8">
        <f t="shared" ca="1" si="1"/>
        <v>46173.713128356481</v>
      </c>
      <c r="R79" s="7">
        <f ca="1">DATEDIF(data[[#This Row],[Customer_Since]],data[[#This Row],[Timestamp]],"M")</f>
        <v>41</v>
      </c>
      <c r="S79">
        <f>COUNTIF($H$5:H79,H79)</f>
        <v>9</v>
      </c>
      <c r="T79">
        <f>COUNTIF($L$5:L79,L79)</f>
        <v>12</v>
      </c>
      <c r="U79">
        <f>COUNTIF($M$5:M79,M79)</f>
        <v>11</v>
      </c>
      <c r="V79" s="14">
        <f>EOMONTH(data[[#This Row],[Date]],0)</f>
        <v>45473</v>
      </c>
    </row>
    <row r="80" spans="2:22" ht="15.75" customHeight="1" x14ac:dyDescent="0.3">
      <c r="B80" s="4" t="s">
        <v>230</v>
      </c>
      <c r="C80" s="9">
        <v>45468</v>
      </c>
      <c r="D80" s="4" t="s">
        <v>210</v>
      </c>
      <c r="E80" s="4" t="str">
        <f>RIGHT(data[[#This Row],[Customer_ID]],3)</f>
        <v>007</v>
      </c>
      <c r="F80" s="4" t="s">
        <v>211</v>
      </c>
      <c r="G80" s="4" t="s">
        <v>59</v>
      </c>
      <c r="H80" s="4" t="s">
        <v>60</v>
      </c>
      <c r="I80" s="4" t="s">
        <v>61</v>
      </c>
      <c r="J80" s="4">
        <v>2</v>
      </c>
      <c r="K80" s="4">
        <v>59.99</v>
      </c>
      <c r="L80" s="4" t="s">
        <v>48</v>
      </c>
      <c r="M80" s="4" t="s">
        <v>68</v>
      </c>
      <c r="N80" s="4" t="s">
        <v>64</v>
      </c>
      <c r="O80" s="5">
        <v>45152</v>
      </c>
      <c r="P80" s="4">
        <v>119.98</v>
      </c>
      <c r="Q80" s="8">
        <f t="shared" ca="1" si="1"/>
        <v>46173.713128356481</v>
      </c>
      <c r="R80" s="7">
        <f ca="1">DATEDIF(data[[#This Row],[Customer_Since]],data[[#This Row],[Timestamp]],"M")</f>
        <v>33</v>
      </c>
      <c r="S80">
        <f>COUNTIF($H$5:H80,H80)</f>
        <v>14</v>
      </c>
      <c r="T80">
        <f>COUNTIF($L$5:L80,L80)</f>
        <v>27</v>
      </c>
      <c r="U80">
        <f>COUNTIF($M$5:M80,M80)</f>
        <v>20</v>
      </c>
      <c r="V80" s="14">
        <f>EOMONTH(data[[#This Row],[Date]],0)</f>
        <v>45473</v>
      </c>
    </row>
    <row r="81" spans="2:22" ht="15.75" customHeight="1" x14ac:dyDescent="0.3">
      <c r="B81" s="4" t="s">
        <v>231</v>
      </c>
      <c r="C81" s="9">
        <v>45469</v>
      </c>
      <c r="D81" s="4" t="s">
        <v>224</v>
      </c>
      <c r="E81" s="4" t="str">
        <f>RIGHT(data[[#This Row],[Customer_ID]],3)</f>
        <v>047</v>
      </c>
      <c r="F81" s="4" t="s">
        <v>225</v>
      </c>
      <c r="G81" s="4" t="s">
        <v>45</v>
      </c>
      <c r="H81" s="4" t="s">
        <v>46</v>
      </c>
      <c r="I81" s="4" t="s">
        <v>47</v>
      </c>
      <c r="J81" s="4">
        <v>4</v>
      </c>
      <c r="K81" s="4">
        <v>249.99</v>
      </c>
      <c r="L81" s="4" t="s">
        <v>85</v>
      </c>
      <c r="M81" s="4" t="s">
        <v>49</v>
      </c>
      <c r="N81" s="4" t="s">
        <v>64</v>
      </c>
      <c r="O81" s="5">
        <v>45127</v>
      </c>
      <c r="P81" s="4">
        <v>999.96</v>
      </c>
      <c r="Q81" s="8">
        <f t="shared" ca="1" si="1"/>
        <v>46173.713128356481</v>
      </c>
      <c r="R81" s="7">
        <f ca="1">DATEDIF(data[[#This Row],[Customer_Since]],data[[#This Row],[Timestamp]],"M")</f>
        <v>34</v>
      </c>
      <c r="S81">
        <f>COUNTIF($H$5:H81,H81)</f>
        <v>7</v>
      </c>
      <c r="T81">
        <f>COUNTIF($L$5:L81,L81)</f>
        <v>13</v>
      </c>
      <c r="U81">
        <f>COUNTIF($M$5:M81,M81)</f>
        <v>13</v>
      </c>
      <c r="V81" s="14">
        <f>EOMONTH(data[[#This Row],[Date]],0)</f>
        <v>45473</v>
      </c>
    </row>
    <row r="82" spans="2:22" ht="15.75" customHeight="1" x14ac:dyDescent="0.3">
      <c r="B82" s="4" t="s">
        <v>232</v>
      </c>
      <c r="C82" s="9">
        <v>45470</v>
      </c>
      <c r="D82" s="4" t="s">
        <v>124</v>
      </c>
      <c r="E82" s="4" t="str">
        <f>RIGHT(data[[#This Row],[Customer_ID]],3)</f>
        <v>018</v>
      </c>
      <c r="F82" s="4" t="s">
        <v>125</v>
      </c>
      <c r="G82" s="4" t="s">
        <v>45</v>
      </c>
      <c r="H82" s="4" t="s">
        <v>46</v>
      </c>
      <c r="I82" s="4" t="s">
        <v>47</v>
      </c>
      <c r="J82" s="4">
        <v>2</v>
      </c>
      <c r="K82" s="4">
        <v>249.99</v>
      </c>
      <c r="L82" s="4" t="s">
        <v>48</v>
      </c>
      <c r="M82" s="4" t="s">
        <v>68</v>
      </c>
      <c r="N82" s="4" t="s">
        <v>55</v>
      </c>
      <c r="O82" s="5">
        <v>45164</v>
      </c>
      <c r="P82" s="4">
        <v>499.98</v>
      </c>
      <c r="Q82" s="8">
        <f t="shared" ca="1" si="1"/>
        <v>46173.713128356481</v>
      </c>
      <c r="R82" s="7">
        <f ca="1">DATEDIF(data[[#This Row],[Customer_Since]],data[[#This Row],[Timestamp]],"M")</f>
        <v>33</v>
      </c>
      <c r="S82">
        <f>COUNTIF($H$5:H82,H82)</f>
        <v>8</v>
      </c>
      <c r="T82">
        <f>COUNTIF($L$5:L82,L82)</f>
        <v>28</v>
      </c>
      <c r="U82">
        <f>COUNTIF($M$5:M82,M82)</f>
        <v>21</v>
      </c>
      <c r="V82" s="14">
        <f>EOMONTH(data[[#This Row],[Date]],0)</f>
        <v>45473</v>
      </c>
    </row>
    <row r="83" spans="2:22" ht="15.75" customHeight="1" x14ac:dyDescent="0.3">
      <c r="B83" s="4" t="s">
        <v>233</v>
      </c>
      <c r="C83" s="9">
        <v>45471</v>
      </c>
      <c r="D83" s="4" t="s">
        <v>175</v>
      </c>
      <c r="E83" s="4" t="str">
        <f>RIGHT(data[[#This Row],[Customer_ID]],3)</f>
        <v>019</v>
      </c>
      <c r="F83" s="4" t="s">
        <v>176</v>
      </c>
      <c r="G83" s="4" t="s">
        <v>133</v>
      </c>
      <c r="H83" s="4" t="s">
        <v>134</v>
      </c>
      <c r="I83" s="4" t="s">
        <v>74</v>
      </c>
      <c r="J83" s="4">
        <v>1</v>
      </c>
      <c r="K83" s="4">
        <v>299.99</v>
      </c>
      <c r="L83" s="4" t="s">
        <v>48</v>
      </c>
      <c r="M83" s="4" t="s">
        <v>63</v>
      </c>
      <c r="N83" s="4" t="s">
        <v>50</v>
      </c>
      <c r="O83" s="5">
        <v>44982</v>
      </c>
      <c r="P83" s="4">
        <v>299.99</v>
      </c>
      <c r="Q83" s="8">
        <f t="shared" ca="1" si="1"/>
        <v>46173.713128356481</v>
      </c>
      <c r="R83" s="7">
        <f ca="1">DATEDIF(data[[#This Row],[Customer_Since]],data[[#This Row],[Timestamp]],"M")</f>
        <v>39</v>
      </c>
      <c r="S83">
        <f>COUNTIF($H$5:H83,H83)</f>
        <v>6</v>
      </c>
      <c r="T83">
        <f>COUNTIF($L$5:L83,L83)</f>
        <v>29</v>
      </c>
      <c r="U83">
        <f>COUNTIF($M$5:M83,M83)</f>
        <v>12</v>
      </c>
      <c r="V83" s="14">
        <f>EOMONTH(data[[#This Row],[Date]],0)</f>
        <v>45473</v>
      </c>
    </row>
    <row r="84" spans="2:22" ht="15.75" customHeight="1" x14ac:dyDescent="0.3">
      <c r="B84" s="4" t="s">
        <v>234</v>
      </c>
      <c r="C84" s="9">
        <v>45472</v>
      </c>
      <c r="D84" s="4" t="s">
        <v>114</v>
      </c>
      <c r="E84" s="4" t="str">
        <f>RIGHT(data[[#This Row],[Customer_ID]],3)</f>
        <v>025</v>
      </c>
      <c r="F84" s="4" t="s">
        <v>115</v>
      </c>
      <c r="G84" s="4" t="s">
        <v>145</v>
      </c>
      <c r="H84" s="4" t="s">
        <v>146</v>
      </c>
      <c r="I84" s="4" t="s">
        <v>47</v>
      </c>
      <c r="J84" s="4">
        <v>2</v>
      </c>
      <c r="K84" s="4">
        <v>89.99</v>
      </c>
      <c r="L84" s="4" t="s">
        <v>62</v>
      </c>
      <c r="M84" s="4" t="s">
        <v>63</v>
      </c>
      <c r="N84" s="4" t="s">
        <v>50</v>
      </c>
      <c r="O84" s="5">
        <v>44976</v>
      </c>
      <c r="P84" s="4">
        <v>179.98</v>
      </c>
      <c r="Q84" s="8">
        <f t="shared" ca="1" si="1"/>
        <v>46173.713128356481</v>
      </c>
      <c r="R84" s="7">
        <f ca="1">DATEDIF(data[[#This Row],[Customer_Since]],data[[#This Row],[Timestamp]],"M")</f>
        <v>39</v>
      </c>
      <c r="S84">
        <f>COUNTIF($H$5:H84,H84)</f>
        <v>14</v>
      </c>
      <c r="T84">
        <f>COUNTIF($L$5:L84,L84)</f>
        <v>15</v>
      </c>
      <c r="U84">
        <f>COUNTIF($M$5:M84,M84)</f>
        <v>13</v>
      </c>
      <c r="V84" s="14">
        <f>EOMONTH(data[[#This Row],[Date]],0)</f>
        <v>45473</v>
      </c>
    </row>
    <row r="85" spans="2:22" ht="15.75" customHeight="1" x14ac:dyDescent="0.3">
      <c r="B85" s="4" t="s">
        <v>235</v>
      </c>
      <c r="C85" s="9">
        <v>45473</v>
      </c>
      <c r="D85" s="4" t="s">
        <v>175</v>
      </c>
      <c r="E85" s="4" t="str">
        <f>RIGHT(data[[#This Row],[Customer_ID]],3)</f>
        <v>019</v>
      </c>
      <c r="F85" s="4" t="s">
        <v>176</v>
      </c>
      <c r="G85" s="4" t="s">
        <v>133</v>
      </c>
      <c r="H85" s="4" t="s">
        <v>134</v>
      </c>
      <c r="I85" s="4" t="s">
        <v>74</v>
      </c>
      <c r="J85" s="4">
        <v>3</v>
      </c>
      <c r="K85" s="4">
        <v>299.99</v>
      </c>
      <c r="L85" s="4" t="s">
        <v>48</v>
      </c>
      <c r="M85" s="4" t="s">
        <v>49</v>
      </c>
      <c r="N85" s="4" t="s">
        <v>50</v>
      </c>
      <c r="O85" s="5">
        <v>44732</v>
      </c>
      <c r="P85" s="4">
        <v>899.97</v>
      </c>
      <c r="Q85" s="8">
        <f t="shared" ca="1" si="1"/>
        <v>46173.713128356481</v>
      </c>
      <c r="R85" s="7">
        <f ca="1">DATEDIF(data[[#This Row],[Customer_Since]],data[[#This Row],[Timestamp]],"M")</f>
        <v>47</v>
      </c>
      <c r="S85">
        <f>COUNTIF($H$5:H85,H85)</f>
        <v>7</v>
      </c>
      <c r="T85">
        <f>COUNTIF($L$5:L85,L85)</f>
        <v>30</v>
      </c>
      <c r="U85">
        <f>COUNTIF($M$5:M85,M85)</f>
        <v>14</v>
      </c>
      <c r="V85" s="14">
        <f>EOMONTH(data[[#This Row],[Date]],0)</f>
        <v>45473</v>
      </c>
    </row>
    <row r="86" spans="2:22" ht="15.75" customHeight="1" x14ac:dyDescent="0.3">
      <c r="B86" s="4" t="s">
        <v>236</v>
      </c>
      <c r="C86" s="9">
        <v>45474</v>
      </c>
      <c r="D86" s="4" t="s">
        <v>114</v>
      </c>
      <c r="E86" s="4" t="str">
        <f>RIGHT(data[[#This Row],[Customer_ID]],3)</f>
        <v>025</v>
      </c>
      <c r="F86" s="4" t="s">
        <v>115</v>
      </c>
      <c r="G86" s="4" t="s">
        <v>108</v>
      </c>
      <c r="H86" s="4" t="s">
        <v>109</v>
      </c>
      <c r="I86" s="4" t="s">
        <v>47</v>
      </c>
      <c r="J86" s="4">
        <v>2</v>
      </c>
      <c r="K86" s="4">
        <v>699.99</v>
      </c>
      <c r="L86" s="4" t="s">
        <v>54</v>
      </c>
      <c r="M86" s="4" t="s">
        <v>68</v>
      </c>
      <c r="N86" s="4" t="s">
        <v>55</v>
      </c>
      <c r="O86" s="5">
        <v>44999</v>
      </c>
      <c r="P86" s="4">
        <v>1399.98</v>
      </c>
      <c r="Q86" s="8">
        <f t="shared" ca="1" si="1"/>
        <v>46173.713128356481</v>
      </c>
      <c r="R86" s="7">
        <f ca="1">DATEDIF(data[[#This Row],[Customer_Since]],data[[#This Row],[Timestamp]],"M")</f>
        <v>38</v>
      </c>
      <c r="S86">
        <f>COUNTIF($H$5:H86,H86)</f>
        <v>8</v>
      </c>
      <c r="T86">
        <f>COUNTIF($L$5:L86,L86)</f>
        <v>24</v>
      </c>
      <c r="U86">
        <f>COUNTIF($M$5:M86,M86)</f>
        <v>22</v>
      </c>
      <c r="V86" s="14">
        <f>EOMONTH(data[[#This Row],[Date]],0)</f>
        <v>45504</v>
      </c>
    </row>
    <row r="87" spans="2:22" ht="15.75" customHeight="1" x14ac:dyDescent="0.3">
      <c r="B87" s="4" t="s">
        <v>237</v>
      </c>
      <c r="C87" s="9">
        <v>45475</v>
      </c>
      <c r="D87" s="4" t="s">
        <v>148</v>
      </c>
      <c r="E87" s="4" t="str">
        <f>RIGHT(data[[#This Row],[Customer_ID]],3)</f>
        <v>030</v>
      </c>
      <c r="F87" s="4" t="s">
        <v>149</v>
      </c>
      <c r="G87" s="4" t="s">
        <v>89</v>
      </c>
      <c r="H87" s="4" t="s">
        <v>90</v>
      </c>
      <c r="I87" s="4" t="s">
        <v>47</v>
      </c>
      <c r="J87" s="4">
        <v>4</v>
      </c>
      <c r="K87" s="4">
        <v>899.99</v>
      </c>
      <c r="L87" s="4" t="s">
        <v>85</v>
      </c>
      <c r="M87" s="4" t="s">
        <v>63</v>
      </c>
      <c r="N87" s="4" t="s">
        <v>64</v>
      </c>
      <c r="O87" s="5">
        <v>44523</v>
      </c>
      <c r="P87" s="4">
        <v>3599.96</v>
      </c>
      <c r="Q87" s="8">
        <f t="shared" ca="1" si="1"/>
        <v>46173.713128356481</v>
      </c>
      <c r="R87" s="7">
        <f ca="1">DATEDIF(data[[#This Row],[Customer_Since]],data[[#This Row],[Timestamp]],"M")</f>
        <v>54</v>
      </c>
      <c r="S87">
        <f>COUNTIF($H$5:H87,H87)</f>
        <v>10</v>
      </c>
      <c r="T87">
        <f>COUNTIF($L$5:L87,L87)</f>
        <v>14</v>
      </c>
      <c r="U87">
        <f>COUNTIF($M$5:M87,M87)</f>
        <v>14</v>
      </c>
      <c r="V87" s="14">
        <f>EOMONTH(data[[#This Row],[Date]],0)</f>
        <v>45504</v>
      </c>
    </row>
    <row r="88" spans="2:22" ht="15.75" customHeight="1" x14ac:dyDescent="0.3">
      <c r="B88" s="4" t="s">
        <v>238</v>
      </c>
      <c r="C88" s="9">
        <v>45476</v>
      </c>
      <c r="D88" s="4" t="s">
        <v>239</v>
      </c>
      <c r="E88" s="4" t="str">
        <f>RIGHT(data[[#This Row],[Customer_ID]],3)</f>
        <v>016</v>
      </c>
      <c r="F88" s="4" t="s">
        <v>240</v>
      </c>
      <c r="G88" s="4" t="s">
        <v>72</v>
      </c>
      <c r="H88" s="4" t="s">
        <v>73</v>
      </c>
      <c r="I88" s="4" t="s">
        <v>74</v>
      </c>
      <c r="J88" s="4">
        <v>2</v>
      </c>
      <c r="K88" s="4">
        <v>149.99</v>
      </c>
      <c r="L88" s="4" t="s">
        <v>54</v>
      </c>
      <c r="M88" s="4" t="s">
        <v>78</v>
      </c>
      <c r="N88" s="4" t="s">
        <v>50</v>
      </c>
      <c r="O88" s="5">
        <v>44542</v>
      </c>
      <c r="P88" s="4">
        <v>299.98</v>
      </c>
      <c r="Q88" s="8">
        <f t="shared" ca="1" si="1"/>
        <v>46173.713128356481</v>
      </c>
      <c r="R88" s="7">
        <f ca="1">DATEDIF(data[[#This Row],[Customer_Since]],data[[#This Row],[Timestamp]],"M")</f>
        <v>53</v>
      </c>
      <c r="S88">
        <f>COUNTIF($H$5:H88,H88)</f>
        <v>12</v>
      </c>
      <c r="T88">
        <f>COUNTIF($L$5:L88,L88)</f>
        <v>25</v>
      </c>
      <c r="U88">
        <f>COUNTIF($M$5:M88,M88)</f>
        <v>18</v>
      </c>
      <c r="V88" s="14">
        <f>EOMONTH(data[[#This Row],[Date]],0)</f>
        <v>45504</v>
      </c>
    </row>
    <row r="89" spans="2:22" ht="15.75" customHeight="1" x14ac:dyDescent="0.3">
      <c r="B89" s="4" t="s">
        <v>241</v>
      </c>
      <c r="C89" s="9">
        <v>45477</v>
      </c>
      <c r="D89" s="4" t="s">
        <v>130</v>
      </c>
      <c r="E89" s="4" t="str">
        <f>RIGHT(data[[#This Row],[Customer_ID]],3)</f>
        <v>044</v>
      </c>
      <c r="F89" s="4" t="s">
        <v>131</v>
      </c>
      <c r="G89" s="4" t="s">
        <v>72</v>
      </c>
      <c r="H89" s="4" t="s">
        <v>73</v>
      </c>
      <c r="I89" s="4" t="s">
        <v>74</v>
      </c>
      <c r="J89" s="4">
        <v>2</v>
      </c>
      <c r="K89" s="4">
        <v>149.99</v>
      </c>
      <c r="L89" s="4" t="s">
        <v>85</v>
      </c>
      <c r="M89" s="4" t="s">
        <v>91</v>
      </c>
      <c r="N89" s="4" t="s">
        <v>64</v>
      </c>
      <c r="O89" s="5">
        <v>44667</v>
      </c>
      <c r="P89" s="4">
        <v>299.98</v>
      </c>
      <c r="Q89" s="8">
        <f t="shared" ca="1" si="1"/>
        <v>46173.713128356481</v>
      </c>
      <c r="R89" s="7">
        <f ca="1">DATEDIF(data[[#This Row],[Customer_Since]],data[[#This Row],[Timestamp]],"M")</f>
        <v>49</v>
      </c>
      <c r="S89">
        <f>COUNTIF($H$5:H89,H89)</f>
        <v>13</v>
      </c>
      <c r="T89">
        <f>COUNTIF($L$5:L89,L89)</f>
        <v>15</v>
      </c>
      <c r="U89">
        <f>COUNTIF($M$5:M89,M89)</f>
        <v>17</v>
      </c>
      <c r="V89" s="14">
        <f>EOMONTH(data[[#This Row],[Date]],0)</f>
        <v>45504</v>
      </c>
    </row>
    <row r="90" spans="2:22" ht="15.75" customHeight="1" x14ac:dyDescent="0.3">
      <c r="B90" s="4" t="s">
        <v>242</v>
      </c>
      <c r="C90" s="9">
        <v>45478</v>
      </c>
      <c r="D90" s="4" t="s">
        <v>117</v>
      </c>
      <c r="E90" s="4" t="str">
        <f>RIGHT(data[[#This Row],[Customer_ID]],3)</f>
        <v>010</v>
      </c>
      <c r="F90" s="4" t="s">
        <v>118</v>
      </c>
      <c r="G90" s="4" t="s">
        <v>145</v>
      </c>
      <c r="H90" s="4" t="s">
        <v>146</v>
      </c>
      <c r="I90" s="4" t="s">
        <v>47</v>
      </c>
      <c r="J90" s="4">
        <v>1</v>
      </c>
      <c r="K90" s="4">
        <v>89.99</v>
      </c>
      <c r="L90" s="4" t="s">
        <v>54</v>
      </c>
      <c r="M90" s="4" t="s">
        <v>68</v>
      </c>
      <c r="N90" s="4" t="s">
        <v>64</v>
      </c>
      <c r="O90" s="5">
        <v>45393</v>
      </c>
      <c r="P90" s="4">
        <v>89.99</v>
      </c>
      <c r="Q90" s="8">
        <f t="shared" ca="1" si="1"/>
        <v>46173.713128356481</v>
      </c>
      <c r="R90" s="7">
        <f ca="1">DATEDIF(data[[#This Row],[Customer_Since]],data[[#This Row],[Timestamp]],"M")</f>
        <v>25</v>
      </c>
      <c r="S90">
        <f>COUNTIF($H$5:H90,H90)</f>
        <v>15</v>
      </c>
      <c r="T90">
        <f>COUNTIF($L$5:L90,L90)</f>
        <v>26</v>
      </c>
      <c r="U90">
        <f>COUNTIF($M$5:M90,M90)</f>
        <v>23</v>
      </c>
      <c r="V90" s="14">
        <f>EOMONTH(data[[#This Row],[Date]],0)</f>
        <v>45504</v>
      </c>
    </row>
    <row r="91" spans="2:22" ht="15.75" customHeight="1" x14ac:dyDescent="0.3">
      <c r="B91" s="4" t="s">
        <v>243</v>
      </c>
      <c r="C91" s="9">
        <v>45479</v>
      </c>
      <c r="D91" s="4" t="s">
        <v>114</v>
      </c>
      <c r="E91" s="4" t="str">
        <f>RIGHT(data[[#This Row],[Customer_ID]],3)</f>
        <v>025</v>
      </c>
      <c r="F91" s="4" t="s">
        <v>115</v>
      </c>
      <c r="G91" s="4" t="s">
        <v>133</v>
      </c>
      <c r="H91" s="4" t="s">
        <v>134</v>
      </c>
      <c r="I91" s="4" t="s">
        <v>74</v>
      </c>
      <c r="J91" s="4">
        <v>5</v>
      </c>
      <c r="K91" s="4">
        <v>299.99</v>
      </c>
      <c r="L91" s="4" t="s">
        <v>54</v>
      </c>
      <c r="M91" s="4" t="s">
        <v>68</v>
      </c>
      <c r="N91" s="4" t="s">
        <v>50</v>
      </c>
      <c r="O91" s="5">
        <v>44965</v>
      </c>
      <c r="P91" s="4">
        <v>1499.95</v>
      </c>
      <c r="Q91" s="8">
        <f t="shared" ca="1" si="1"/>
        <v>46173.713128356481</v>
      </c>
      <c r="R91" s="7">
        <f ca="1">DATEDIF(data[[#This Row],[Customer_Since]],data[[#This Row],[Timestamp]],"M")</f>
        <v>39</v>
      </c>
      <c r="S91">
        <f>COUNTIF($H$5:H91,H91)</f>
        <v>8</v>
      </c>
      <c r="T91">
        <f>COUNTIF($L$5:L91,L91)</f>
        <v>27</v>
      </c>
      <c r="U91">
        <f>COUNTIF($M$5:M91,M91)</f>
        <v>24</v>
      </c>
      <c r="V91" s="14">
        <f>EOMONTH(data[[#This Row],[Date]],0)</f>
        <v>45504</v>
      </c>
    </row>
    <row r="92" spans="2:22" ht="15.75" customHeight="1" x14ac:dyDescent="0.3">
      <c r="B92" s="4" t="s">
        <v>244</v>
      </c>
      <c r="C92" s="9">
        <v>45480</v>
      </c>
      <c r="D92" s="4" t="s">
        <v>210</v>
      </c>
      <c r="E92" s="4" t="str">
        <f>RIGHT(data[[#This Row],[Customer_ID]],3)</f>
        <v>007</v>
      </c>
      <c r="F92" s="4" t="s">
        <v>211</v>
      </c>
      <c r="G92" s="4" t="s">
        <v>80</v>
      </c>
      <c r="H92" s="4" t="s">
        <v>81</v>
      </c>
      <c r="I92" s="4" t="s">
        <v>47</v>
      </c>
      <c r="J92" s="4">
        <v>4</v>
      </c>
      <c r="K92" s="4">
        <v>149.99</v>
      </c>
      <c r="L92" s="4" t="s">
        <v>85</v>
      </c>
      <c r="M92" s="4" t="s">
        <v>63</v>
      </c>
      <c r="N92" s="4" t="s">
        <v>55</v>
      </c>
      <c r="O92" s="5">
        <v>44820</v>
      </c>
      <c r="P92" s="4">
        <v>599.96</v>
      </c>
      <c r="Q92" s="8">
        <f t="shared" ca="1" si="1"/>
        <v>46173.713128356481</v>
      </c>
      <c r="R92" s="7">
        <f ca="1">DATEDIF(data[[#This Row],[Customer_Since]],data[[#This Row],[Timestamp]],"M")</f>
        <v>44</v>
      </c>
      <c r="S92">
        <f>COUNTIF($H$5:H92,H92)</f>
        <v>3</v>
      </c>
      <c r="T92">
        <f>COUNTIF($L$5:L92,L92)</f>
        <v>16</v>
      </c>
      <c r="U92">
        <f>COUNTIF($M$5:M92,M92)</f>
        <v>15</v>
      </c>
      <c r="V92" s="14">
        <f>EOMONTH(data[[#This Row],[Date]],0)</f>
        <v>45504</v>
      </c>
    </row>
    <row r="93" spans="2:22" ht="15.75" customHeight="1" x14ac:dyDescent="0.3">
      <c r="B93" s="4" t="s">
        <v>245</v>
      </c>
      <c r="C93" s="9">
        <v>45481</v>
      </c>
      <c r="D93" s="4" t="s">
        <v>213</v>
      </c>
      <c r="E93" s="4" t="str">
        <f>RIGHT(data[[#This Row],[Customer_ID]],3)</f>
        <v>020</v>
      </c>
      <c r="F93" s="4" t="s">
        <v>214</v>
      </c>
      <c r="G93" s="4" t="s">
        <v>45</v>
      </c>
      <c r="H93" s="4" t="s">
        <v>46</v>
      </c>
      <c r="I93" s="4" t="s">
        <v>47</v>
      </c>
      <c r="J93" s="4">
        <v>5</v>
      </c>
      <c r="K93" s="4">
        <v>249.99</v>
      </c>
      <c r="L93" s="4" t="s">
        <v>62</v>
      </c>
      <c r="M93" s="4" t="s">
        <v>91</v>
      </c>
      <c r="N93" s="4" t="s">
        <v>55</v>
      </c>
      <c r="O93" s="5">
        <v>44782</v>
      </c>
      <c r="P93" s="4">
        <v>1249.95</v>
      </c>
      <c r="Q93" s="8">
        <f t="shared" ca="1" si="1"/>
        <v>46173.713128356481</v>
      </c>
      <c r="R93" s="7">
        <f ca="1">DATEDIF(data[[#This Row],[Customer_Since]],data[[#This Row],[Timestamp]],"M")</f>
        <v>45</v>
      </c>
      <c r="S93">
        <f>COUNTIF($H$5:H93,H93)</f>
        <v>9</v>
      </c>
      <c r="T93">
        <f>COUNTIF($L$5:L93,L93)</f>
        <v>16</v>
      </c>
      <c r="U93">
        <f>COUNTIF($M$5:M93,M93)</f>
        <v>18</v>
      </c>
      <c r="V93" s="14">
        <f>EOMONTH(data[[#This Row],[Date]],0)</f>
        <v>45504</v>
      </c>
    </row>
    <row r="94" spans="2:22" ht="15.75" customHeight="1" x14ac:dyDescent="0.3">
      <c r="B94" s="4" t="s">
        <v>246</v>
      </c>
      <c r="C94" s="9">
        <v>45482</v>
      </c>
      <c r="D94" s="4" t="s">
        <v>93</v>
      </c>
      <c r="E94" s="4" t="str">
        <f>RIGHT(data[[#This Row],[Customer_ID]],3)</f>
        <v>026</v>
      </c>
      <c r="F94" s="4" t="s">
        <v>94</v>
      </c>
      <c r="G94" s="4" t="s">
        <v>45</v>
      </c>
      <c r="H94" s="4" t="s">
        <v>46</v>
      </c>
      <c r="I94" s="4" t="s">
        <v>47</v>
      </c>
      <c r="J94" s="4">
        <v>3</v>
      </c>
      <c r="K94" s="4">
        <v>249.99</v>
      </c>
      <c r="L94" s="4" t="s">
        <v>62</v>
      </c>
      <c r="M94" s="4" t="s">
        <v>68</v>
      </c>
      <c r="N94" s="4" t="s">
        <v>55</v>
      </c>
      <c r="O94" s="5">
        <v>44465</v>
      </c>
      <c r="P94" s="4">
        <v>749.97</v>
      </c>
      <c r="Q94" s="8">
        <f t="shared" ca="1" si="1"/>
        <v>46173.713128356481</v>
      </c>
      <c r="R94" s="7">
        <f ca="1">DATEDIF(data[[#This Row],[Customer_Since]],data[[#This Row],[Timestamp]],"M")</f>
        <v>56</v>
      </c>
      <c r="S94">
        <f>COUNTIF($H$5:H94,H94)</f>
        <v>10</v>
      </c>
      <c r="T94">
        <f>COUNTIF($L$5:L94,L94)</f>
        <v>17</v>
      </c>
      <c r="U94">
        <f>COUNTIF($M$5:M94,M94)</f>
        <v>25</v>
      </c>
      <c r="V94" s="14">
        <f>EOMONTH(data[[#This Row],[Date]],0)</f>
        <v>45504</v>
      </c>
    </row>
    <row r="95" spans="2:22" ht="15.75" customHeight="1" x14ac:dyDescent="0.3">
      <c r="B95" s="4" t="s">
        <v>247</v>
      </c>
      <c r="C95" s="9">
        <v>45483</v>
      </c>
      <c r="D95" s="4" t="s">
        <v>66</v>
      </c>
      <c r="E95" s="4" t="str">
        <f>RIGHT(data[[#This Row],[Customer_ID]],3)</f>
        <v>046</v>
      </c>
      <c r="F95" s="4" t="s">
        <v>67</v>
      </c>
      <c r="G95" s="4" t="s">
        <v>154</v>
      </c>
      <c r="H95" s="4" t="s">
        <v>155</v>
      </c>
      <c r="I95" s="4" t="s">
        <v>74</v>
      </c>
      <c r="J95" s="4">
        <v>4</v>
      </c>
      <c r="K95" s="4">
        <v>199.99</v>
      </c>
      <c r="L95" s="4" t="s">
        <v>48</v>
      </c>
      <c r="M95" s="4" t="s">
        <v>68</v>
      </c>
      <c r="N95" s="4" t="s">
        <v>64</v>
      </c>
      <c r="O95" s="5">
        <v>44458</v>
      </c>
      <c r="P95" s="4">
        <v>799.96</v>
      </c>
      <c r="Q95" s="8">
        <f t="shared" ca="1" si="1"/>
        <v>46173.713128356481</v>
      </c>
      <c r="R95" s="7">
        <f ca="1">DATEDIF(data[[#This Row],[Customer_Since]],data[[#This Row],[Timestamp]],"M")</f>
        <v>56</v>
      </c>
      <c r="S95">
        <f>COUNTIF($H$5:H95,H95)</f>
        <v>5</v>
      </c>
      <c r="T95">
        <f>COUNTIF($L$5:L95,L95)</f>
        <v>31</v>
      </c>
      <c r="U95">
        <f>COUNTIF($M$5:M95,M95)</f>
        <v>26</v>
      </c>
      <c r="V95" s="14">
        <f>EOMONTH(data[[#This Row],[Date]],0)</f>
        <v>45504</v>
      </c>
    </row>
    <row r="96" spans="2:22" ht="15.75" customHeight="1" x14ac:dyDescent="0.3">
      <c r="B96" s="4" t="s">
        <v>248</v>
      </c>
      <c r="C96" s="9">
        <v>45484</v>
      </c>
      <c r="D96" s="4" t="s">
        <v>186</v>
      </c>
      <c r="E96" s="4" t="str">
        <f>RIGHT(data[[#This Row],[Customer_ID]],3)</f>
        <v>028</v>
      </c>
      <c r="F96" s="4" t="s">
        <v>187</v>
      </c>
      <c r="G96" s="4" t="s">
        <v>154</v>
      </c>
      <c r="H96" s="4" t="s">
        <v>155</v>
      </c>
      <c r="I96" s="4" t="s">
        <v>74</v>
      </c>
      <c r="J96" s="4">
        <v>5</v>
      </c>
      <c r="K96" s="4">
        <v>199.99</v>
      </c>
      <c r="L96" s="4" t="s">
        <v>48</v>
      </c>
      <c r="M96" s="4" t="s">
        <v>68</v>
      </c>
      <c r="N96" s="4" t="s">
        <v>55</v>
      </c>
      <c r="O96" s="5">
        <v>44991</v>
      </c>
      <c r="P96" s="4">
        <v>999.95</v>
      </c>
      <c r="Q96" s="8">
        <f t="shared" ca="1" si="1"/>
        <v>46173.713128356481</v>
      </c>
      <c r="R96" s="7">
        <f ca="1">DATEDIF(data[[#This Row],[Customer_Since]],data[[#This Row],[Timestamp]],"M")</f>
        <v>38</v>
      </c>
      <c r="S96">
        <f>COUNTIF($H$5:H96,H96)</f>
        <v>6</v>
      </c>
      <c r="T96">
        <f>COUNTIF($L$5:L96,L96)</f>
        <v>32</v>
      </c>
      <c r="U96">
        <f>COUNTIF($M$5:M96,M96)</f>
        <v>27</v>
      </c>
      <c r="V96" s="14">
        <f>EOMONTH(data[[#This Row],[Date]],0)</f>
        <v>45504</v>
      </c>
    </row>
    <row r="97" spans="2:22" ht="15.75" customHeight="1" x14ac:dyDescent="0.3">
      <c r="B97" s="4" t="s">
        <v>249</v>
      </c>
      <c r="C97" s="9">
        <v>45485</v>
      </c>
      <c r="D97" s="4" t="s">
        <v>114</v>
      </c>
      <c r="E97" s="4" t="str">
        <f>RIGHT(data[[#This Row],[Customer_ID]],3)</f>
        <v>025</v>
      </c>
      <c r="F97" s="4" t="s">
        <v>115</v>
      </c>
      <c r="G97" s="4" t="s">
        <v>145</v>
      </c>
      <c r="H97" s="4" t="s">
        <v>146</v>
      </c>
      <c r="I97" s="4" t="s">
        <v>47</v>
      </c>
      <c r="J97" s="4">
        <v>2</v>
      </c>
      <c r="K97" s="4">
        <v>89.99</v>
      </c>
      <c r="L97" s="4" t="s">
        <v>48</v>
      </c>
      <c r="M97" s="4" t="s">
        <v>91</v>
      </c>
      <c r="N97" s="4" t="s">
        <v>55</v>
      </c>
      <c r="O97" s="5">
        <v>44972</v>
      </c>
      <c r="P97" s="4">
        <v>179.98</v>
      </c>
      <c r="Q97" s="8">
        <f t="shared" ca="1" si="1"/>
        <v>46173.713128356481</v>
      </c>
      <c r="R97" s="7">
        <f ca="1">DATEDIF(data[[#This Row],[Customer_Since]],data[[#This Row],[Timestamp]],"M")</f>
        <v>39</v>
      </c>
      <c r="S97">
        <f>COUNTIF($H$5:H97,H97)</f>
        <v>16</v>
      </c>
      <c r="T97">
        <f>COUNTIF($L$5:L97,L97)</f>
        <v>33</v>
      </c>
      <c r="U97">
        <f>COUNTIF($M$5:M97,M97)</f>
        <v>19</v>
      </c>
      <c r="V97" s="14">
        <f>EOMONTH(data[[#This Row],[Date]],0)</f>
        <v>45504</v>
      </c>
    </row>
    <row r="98" spans="2:22" ht="15.75" customHeight="1" x14ac:dyDescent="0.3">
      <c r="B98" s="4" t="s">
        <v>250</v>
      </c>
      <c r="C98" s="9">
        <v>45486</v>
      </c>
      <c r="D98" s="4" t="s">
        <v>224</v>
      </c>
      <c r="E98" s="4" t="str">
        <f>RIGHT(data[[#This Row],[Customer_ID]],3)</f>
        <v>047</v>
      </c>
      <c r="F98" s="4" t="s">
        <v>225</v>
      </c>
      <c r="G98" s="4" t="s">
        <v>89</v>
      </c>
      <c r="H98" s="4" t="s">
        <v>90</v>
      </c>
      <c r="I98" s="4" t="s">
        <v>47</v>
      </c>
      <c r="J98" s="4">
        <v>5</v>
      </c>
      <c r="K98" s="4">
        <v>899.99</v>
      </c>
      <c r="L98" s="4" t="s">
        <v>85</v>
      </c>
      <c r="M98" s="4" t="s">
        <v>91</v>
      </c>
      <c r="N98" s="4" t="s">
        <v>50</v>
      </c>
      <c r="O98" s="5">
        <v>44526</v>
      </c>
      <c r="P98" s="4">
        <v>4499.95</v>
      </c>
      <c r="Q98" s="8">
        <f t="shared" ca="1" si="1"/>
        <v>46173.713128356481</v>
      </c>
      <c r="R98" s="7">
        <f ca="1">DATEDIF(data[[#This Row],[Customer_Since]],data[[#This Row],[Timestamp]],"M")</f>
        <v>54</v>
      </c>
      <c r="S98">
        <f>COUNTIF($H$5:H98,H98)</f>
        <v>11</v>
      </c>
      <c r="T98">
        <f>COUNTIF($L$5:L98,L98)</f>
        <v>17</v>
      </c>
      <c r="U98">
        <f>COUNTIF($M$5:M98,M98)</f>
        <v>20</v>
      </c>
      <c r="V98" s="14">
        <f>EOMONTH(data[[#This Row],[Date]],0)</f>
        <v>45504</v>
      </c>
    </row>
    <row r="99" spans="2:22" ht="15.75" customHeight="1" x14ac:dyDescent="0.3">
      <c r="B99" s="4" t="s">
        <v>251</v>
      </c>
      <c r="C99" s="9">
        <v>45487</v>
      </c>
      <c r="D99" s="4" t="s">
        <v>136</v>
      </c>
      <c r="E99" s="4" t="str">
        <f>RIGHT(data[[#This Row],[Customer_ID]],3)</f>
        <v>036</v>
      </c>
      <c r="F99" s="4" t="s">
        <v>137</v>
      </c>
      <c r="G99" s="4" t="s">
        <v>80</v>
      </c>
      <c r="H99" s="4" t="s">
        <v>81</v>
      </c>
      <c r="I99" s="4" t="s">
        <v>47</v>
      </c>
      <c r="J99" s="4">
        <v>3</v>
      </c>
      <c r="K99" s="4">
        <v>149.99</v>
      </c>
      <c r="L99" s="4" t="s">
        <v>62</v>
      </c>
      <c r="M99" s="4" t="s">
        <v>91</v>
      </c>
      <c r="N99" s="4" t="s">
        <v>50</v>
      </c>
      <c r="O99" s="5">
        <v>44574</v>
      </c>
      <c r="P99" s="4">
        <v>449.97</v>
      </c>
      <c r="Q99" s="8">
        <f t="shared" ca="1" si="1"/>
        <v>46173.713128356481</v>
      </c>
      <c r="R99" s="7">
        <f ca="1">DATEDIF(data[[#This Row],[Customer_Since]],data[[#This Row],[Timestamp]],"M")</f>
        <v>52</v>
      </c>
      <c r="S99">
        <f>COUNTIF($H$5:H99,H99)</f>
        <v>4</v>
      </c>
      <c r="T99">
        <f>COUNTIF($L$5:L99,L99)</f>
        <v>18</v>
      </c>
      <c r="U99">
        <f>COUNTIF($M$5:M99,M99)</f>
        <v>21</v>
      </c>
      <c r="V99" s="14">
        <f>EOMONTH(data[[#This Row],[Date]],0)</f>
        <v>45504</v>
      </c>
    </row>
    <row r="100" spans="2:22" ht="15.75" customHeight="1" x14ac:dyDescent="0.3">
      <c r="B100" s="4" t="s">
        <v>252</v>
      </c>
      <c r="C100" s="9">
        <v>45488</v>
      </c>
      <c r="D100" s="4" t="s">
        <v>130</v>
      </c>
      <c r="E100" s="4" t="str">
        <f>RIGHT(data[[#This Row],[Customer_ID]],3)</f>
        <v>044</v>
      </c>
      <c r="F100" s="4" t="s">
        <v>131</v>
      </c>
      <c r="G100" s="4" t="s">
        <v>72</v>
      </c>
      <c r="H100" s="4" t="s">
        <v>73</v>
      </c>
      <c r="I100" s="4" t="s">
        <v>74</v>
      </c>
      <c r="J100" s="4">
        <v>5</v>
      </c>
      <c r="K100" s="4">
        <v>149.99</v>
      </c>
      <c r="L100" s="4" t="s">
        <v>54</v>
      </c>
      <c r="M100" s="4" t="s">
        <v>49</v>
      </c>
      <c r="N100" s="4" t="s">
        <v>50</v>
      </c>
      <c r="O100" s="5">
        <v>45310</v>
      </c>
      <c r="P100" s="4">
        <v>749.95</v>
      </c>
      <c r="Q100" s="8">
        <f t="shared" ca="1" si="1"/>
        <v>46173.713128356481</v>
      </c>
      <c r="R100" s="7">
        <f ca="1">DATEDIF(data[[#This Row],[Customer_Since]],data[[#This Row],[Timestamp]],"M")</f>
        <v>28</v>
      </c>
      <c r="S100">
        <f>COUNTIF($H$5:H100,H100)</f>
        <v>14</v>
      </c>
      <c r="T100">
        <f>COUNTIF($L$5:L100,L100)</f>
        <v>28</v>
      </c>
      <c r="U100">
        <f>COUNTIF($M$5:M100,M100)</f>
        <v>15</v>
      </c>
      <c r="V100" s="14">
        <f>EOMONTH(data[[#This Row],[Date]],0)</f>
        <v>45504</v>
      </c>
    </row>
    <row r="101" spans="2:22" ht="15.75" customHeight="1" x14ac:dyDescent="0.3">
      <c r="B101" s="4" t="s">
        <v>253</v>
      </c>
      <c r="C101" s="9">
        <v>45489</v>
      </c>
      <c r="D101" s="4" t="s">
        <v>254</v>
      </c>
      <c r="E101" s="4" t="str">
        <f>RIGHT(data[[#This Row],[Customer_ID]],3)</f>
        <v>039</v>
      </c>
      <c r="F101" s="4" t="s">
        <v>255</v>
      </c>
      <c r="G101" s="4" t="s">
        <v>142</v>
      </c>
      <c r="H101" s="4" t="s">
        <v>143</v>
      </c>
      <c r="I101" s="4" t="s">
        <v>61</v>
      </c>
      <c r="J101" s="4">
        <v>3</v>
      </c>
      <c r="K101" s="4">
        <v>79.989999999999995</v>
      </c>
      <c r="L101" s="4" t="s">
        <v>48</v>
      </c>
      <c r="M101" s="4" t="s">
        <v>49</v>
      </c>
      <c r="N101" s="4" t="s">
        <v>55</v>
      </c>
      <c r="O101" s="5">
        <v>44779</v>
      </c>
      <c r="P101" s="4">
        <v>239.97</v>
      </c>
      <c r="Q101" s="8">
        <f t="shared" ca="1" si="1"/>
        <v>46173.713128356481</v>
      </c>
      <c r="R101" s="7">
        <f ca="1">DATEDIF(data[[#This Row],[Customer_Since]],data[[#This Row],[Timestamp]],"M")</f>
        <v>45</v>
      </c>
      <c r="S101">
        <f>COUNTIF($H$5:H101,H101)</f>
        <v>6</v>
      </c>
      <c r="T101">
        <f>COUNTIF($L$5:L101,L101)</f>
        <v>34</v>
      </c>
      <c r="U101">
        <f>COUNTIF($M$5:M101,M101)</f>
        <v>16</v>
      </c>
      <c r="V101" s="14">
        <f>EOMONTH(data[[#This Row],[Date]],0)</f>
        <v>45504</v>
      </c>
    </row>
    <row r="102" spans="2:22" ht="15.75" customHeight="1" x14ac:dyDescent="0.3">
      <c r="B102" s="4" t="s">
        <v>256</v>
      </c>
      <c r="C102" s="9">
        <v>45490</v>
      </c>
      <c r="D102" s="4" t="s">
        <v>172</v>
      </c>
      <c r="E102" s="4" t="str">
        <f>RIGHT(data[[#This Row],[Customer_ID]],3)</f>
        <v>035</v>
      </c>
      <c r="F102" s="4" t="s">
        <v>173</v>
      </c>
      <c r="G102" s="4" t="s">
        <v>45</v>
      </c>
      <c r="H102" s="4" t="s">
        <v>46</v>
      </c>
      <c r="I102" s="4" t="s">
        <v>47</v>
      </c>
      <c r="J102" s="4">
        <v>2</v>
      </c>
      <c r="K102" s="4">
        <v>249.99</v>
      </c>
      <c r="L102" s="4" t="s">
        <v>48</v>
      </c>
      <c r="M102" s="4" t="s">
        <v>63</v>
      </c>
      <c r="N102" s="4" t="s">
        <v>64</v>
      </c>
      <c r="O102" s="5">
        <v>44572</v>
      </c>
      <c r="P102" s="4">
        <v>499.98</v>
      </c>
      <c r="Q102" s="8">
        <f t="shared" ca="1" si="1"/>
        <v>46173.713128356481</v>
      </c>
      <c r="R102" s="7">
        <f ca="1">DATEDIF(data[[#This Row],[Customer_Since]],data[[#This Row],[Timestamp]],"M")</f>
        <v>52</v>
      </c>
      <c r="S102">
        <f>COUNTIF($H$5:H102,H102)</f>
        <v>11</v>
      </c>
      <c r="T102">
        <f>COUNTIF($L$5:L102,L102)</f>
        <v>35</v>
      </c>
      <c r="U102">
        <f>COUNTIF($M$5:M102,M102)</f>
        <v>16</v>
      </c>
      <c r="V102" s="14">
        <f>EOMONTH(data[[#This Row],[Date]],0)</f>
        <v>45504</v>
      </c>
    </row>
    <row r="103" spans="2:22" ht="15.75" customHeight="1" x14ac:dyDescent="0.3">
      <c r="B103" s="4" t="s">
        <v>257</v>
      </c>
      <c r="C103" s="9">
        <v>45491</v>
      </c>
      <c r="D103" s="4" t="s">
        <v>224</v>
      </c>
      <c r="E103" s="4" t="str">
        <f>RIGHT(data[[#This Row],[Customer_ID]],3)</f>
        <v>047</v>
      </c>
      <c r="F103" s="4" t="s">
        <v>225</v>
      </c>
      <c r="G103" s="4" t="s">
        <v>108</v>
      </c>
      <c r="H103" s="4" t="s">
        <v>109</v>
      </c>
      <c r="I103" s="4" t="s">
        <v>47</v>
      </c>
      <c r="J103" s="4">
        <v>1</v>
      </c>
      <c r="K103" s="4">
        <v>699.99</v>
      </c>
      <c r="L103" s="4" t="s">
        <v>48</v>
      </c>
      <c r="M103" s="4" t="s">
        <v>49</v>
      </c>
      <c r="N103" s="4" t="s">
        <v>55</v>
      </c>
      <c r="O103" s="5">
        <v>44497</v>
      </c>
      <c r="P103" s="4">
        <v>699.99</v>
      </c>
      <c r="Q103" s="8">
        <f t="shared" ca="1" si="1"/>
        <v>46173.713128356481</v>
      </c>
      <c r="R103" s="7">
        <f ca="1">DATEDIF(data[[#This Row],[Customer_Since]],data[[#This Row],[Timestamp]],"M")</f>
        <v>55</v>
      </c>
      <c r="S103">
        <f>COUNTIF($H$5:H103,H103)</f>
        <v>9</v>
      </c>
      <c r="T103">
        <f>COUNTIF($L$5:L103,L103)</f>
        <v>36</v>
      </c>
      <c r="U103">
        <f>COUNTIF($M$5:M103,M103)</f>
        <v>17</v>
      </c>
      <c r="V103" s="14">
        <f>EOMONTH(data[[#This Row],[Date]],0)</f>
        <v>45504</v>
      </c>
    </row>
    <row r="104" spans="2:22" ht="15.75" customHeight="1" x14ac:dyDescent="0.3">
      <c r="B104" s="4" t="s">
        <v>258</v>
      </c>
      <c r="C104" s="9">
        <v>45492</v>
      </c>
      <c r="D104" s="4" t="s">
        <v>259</v>
      </c>
      <c r="E104" s="4" t="str">
        <f>RIGHT(data[[#This Row],[Customer_ID]],3)</f>
        <v>034</v>
      </c>
      <c r="F104" s="4" t="s">
        <v>260</v>
      </c>
      <c r="G104" s="4" t="s">
        <v>80</v>
      </c>
      <c r="H104" s="4" t="s">
        <v>81</v>
      </c>
      <c r="I104" s="4" t="s">
        <v>47</v>
      </c>
      <c r="J104" s="4">
        <v>3</v>
      </c>
      <c r="K104" s="4">
        <v>149.99</v>
      </c>
      <c r="L104" s="4" t="s">
        <v>48</v>
      </c>
      <c r="M104" s="4" t="s">
        <v>78</v>
      </c>
      <c r="N104" s="4" t="s">
        <v>55</v>
      </c>
      <c r="O104" s="5">
        <v>45212</v>
      </c>
      <c r="P104" s="4">
        <v>449.97</v>
      </c>
      <c r="Q104" s="8">
        <f t="shared" ca="1" si="1"/>
        <v>46173.713128356481</v>
      </c>
      <c r="R104" s="7">
        <f ca="1">DATEDIF(data[[#This Row],[Customer_Since]],data[[#This Row],[Timestamp]],"M")</f>
        <v>31</v>
      </c>
      <c r="S104">
        <f>COUNTIF($H$5:H104,H104)</f>
        <v>5</v>
      </c>
      <c r="T104">
        <f>COUNTIF($L$5:L104,L104)</f>
        <v>37</v>
      </c>
      <c r="U104">
        <f>COUNTIF($M$5:M104,M104)</f>
        <v>19</v>
      </c>
      <c r="V104" s="14">
        <f>EOMONTH(data[[#This Row],[Date]],0)</f>
        <v>45504</v>
      </c>
    </row>
    <row r="105" spans="2:22" ht="15.75" customHeight="1" x14ac:dyDescent="0.3">
      <c r="B105" s="4" t="s">
        <v>261</v>
      </c>
      <c r="C105" s="9">
        <v>45493</v>
      </c>
      <c r="D105" s="4" t="s">
        <v>262</v>
      </c>
      <c r="E105" s="4" t="str">
        <f>RIGHT(data[[#This Row],[Customer_ID]],3)</f>
        <v>032</v>
      </c>
      <c r="F105" s="4" t="s">
        <v>263</v>
      </c>
      <c r="G105" s="4" t="s">
        <v>108</v>
      </c>
      <c r="H105" s="4" t="s">
        <v>109</v>
      </c>
      <c r="I105" s="4" t="s">
        <v>47</v>
      </c>
      <c r="J105" s="4">
        <v>2</v>
      </c>
      <c r="K105" s="4">
        <v>699.99</v>
      </c>
      <c r="L105" s="4" t="s">
        <v>54</v>
      </c>
      <c r="M105" s="4" t="s">
        <v>68</v>
      </c>
      <c r="N105" s="4" t="s">
        <v>55</v>
      </c>
      <c r="O105" s="5">
        <v>44421</v>
      </c>
      <c r="P105" s="4">
        <v>1399.98</v>
      </c>
      <c r="Q105" s="8">
        <f t="shared" ca="1" si="1"/>
        <v>46173.713128356481</v>
      </c>
      <c r="R105" s="7">
        <f ca="1">DATEDIF(data[[#This Row],[Customer_Since]],data[[#This Row],[Timestamp]],"M")</f>
        <v>57</v>
      </c>
      <c r="S105">
        <f>COUNTIF($H$5:H105,H105)</f>
        <v>10</v>
      </c>
      <c r="T105">
        <f>COUNTIF($L$5:L105,L105)</f>
        <v>29</v>
      </c>
      <c r="U105">
        <f>COUNTIF($M$5:M105,M105)</f>
        <v>28</v>
      </c>
      <c r="V105" s="14">
        <f>EOMONTH(data[[#This Row],[Date]],0)</f>
        <v>45504</v>
      </c>
    </row>
    <row r="106" spans="2:22" ht="15.75" customHeight="1" x14ac:dyDescent="0.3">
      <c r="B106" s="4" t="s">
        <v>264</v>
      </c>
      <c r="C106" s="9">
        <v>45494</v>
      </c>
      <c r="D106" s="4" t="s">
        <v>259</v>
      </c>
      <c r="E106" s="4" t="str">
        <f>RIGHT(data[[#This Row],[Customer_ID]],3)</f>
        <v>034</v>
      </c>
      <c r="F106" s="4" t="s">
        <v>260</v>
      </c>
      <c r="G106" s="4" t="s">
        <v>45</v>
      </c>
      <c r="H106" s="4" t="s">
        <v>46</v>
      </c>
      <c r="I106" s="4" t="s">
        <v>47</v>
      </c>
      <c r="J106" s="4">
        <v>1</v>
      </c>
      <c r="K106" s="4">
        <v>249.99</v>
      </c>
      <c r="L106" s="4" t="s">
        <v>54</v>
      </c>
      <c r="M106" s="4" t="s">
        <v>78</v>
      </c>
      <c r="N106" s="4" t="s">
        <v>55</v>
      </c>
      <c r="O106" s="5">
        <v>44685</v>
      </c>
      <c r="P106" s="4">
        <v>249.99</v>
      </c>
      <c r="Q106" s="8">
        <f t="shared" ca="1" si="1"/>
        <v>46173.713128356481</v>
      </c>
      <c r="R106" s="7">
        <f ca="1">DATEDIF(data[[#This Row],[Customer_Since]],data[[#This Row],[Timestamp]],"M")</f>
        <v>48</v>
      </c>
      <c r="S106">
        <f>COUNTIF($H$5:H106,H106)</f>
        <v>12</v>
      </c>
      <c r="T106">
        <f>COUNTIF($L$5:L106,L106)</f>
        <v>30</v>
      </c>
      <c r="U106">
        <f>COUNTIF($M$5:M106,M106)</f>
        <v>20</v>
      </c>
      <c r="V106" s="14">
        <f>EOMONTH(data[[#This Row],[Date]],0)</f>
        <v>45504</v>
      </c>
    </row>
    <row r="107" spans="2:22" ht="15.75" customHeight="1" x14ac:dyDescent="0.3">
      <c r="B107" s="4" t="s">
        <v>265</v>
      </c>
      <c r="C107" s="9">
        <v>45495</v>
      </c>
      <c r="D107" s="4" t="s">
        <v>43</v>
      </c>
      <c r="E107" s="4" t="str">
        <f>RIGHT(data[[#This Row],[Customer_ID]],3)</f>
        <v>023</v>
      </c>
      <c r="F107" s="4" t="s">
        <v>44</v>
      </c>
      <c r="G107" s="4" t="s">
        <v>45</v>
      </c>
      <c r="H107" s="4" t="s">
        <v>46</v>
      </c>
      <c r="I107" s="4" t="s">
        <v>47</v>
      </c>
      <c r="J107" s="4">
        <v>1</v>
      </c>
      <c r="K107" s="4">
        <v>249.99</v>
      </c>
      <c r="L107" s="4" t="s">
        <v>85</v>
      </c>
      <c r="M107" s="4" t="s">
        <v>68</v>
      </c>
      <c r="N107" s="4" t="s">
        <v>55</v>
      </c>
      <c r="O107" s="5">
        <v>45332</v>
      </c>
      <c r="P107" s="4">
        <v>249.99</v>
      </c>
      <c r="Q107" s="8">
        <f t="shared" ca="1" si="1"/>
        <v>46173.713128356481</v>
      </c>
      <c r="R107" s="7">
        <f ca="1">DATEDIF(data[[#This Row],[Customer_Since]],data[[#This Row],[Timestamp]],"M")</f>
        <v>27</v>
      </c>
      <c r="S107">
        <f>COUNTIF($H$5:H107,H107)</f>
        <v>13</v>
      </c>
      <c r="T107">
        <f>COUNTIF($L$5:L107,L107)</f>
        <v>18</v>
      </c>
      <c r="U107">
        <f>COUNTIF($M$5:M107,M107)</f>
        <v>29</v>
      </c>
      <c r="V107" s="14">
        <f>EOMONTH(data[[#This Row],[Date]],0)</f>
        <v>45504</v>
      </c>
    </row>
    <row r="108" spans="2:22" ht="15.75" customHeight="1" x14ac:dyDescent="0.3">
      <c r="B108" s="4" t="s">
        <v>266</v>
      </c>
      <c r="C108" s="9">
        <v>45496</v>
      </c>
      <c r="D108" s="4" t="s">
        <v>254</v>
      </c>
      <c r="E108" s="4" t="str">
        <f>RIGHT(data[[#This Row],[Customer_ID]],3)</f>
        <v>039</v>
      </c>
      <c r="F108" s="4" t="s">
        <v>255</v>
      </c>
      <c r="G108" s="4" t="s">
        <v>108</v>
      </c>
      <c r="H108" s="4" t="s">
        <v>109</v>
      </c>
      <c r="I108" s="4" t="s">
        <v>47</v>
      </c>
      <c r="J108" s="4">
        <v>2</v>
      </c>
      <c r="K108" s="4">
        <v>699.99</v>
      </c>
      <c r="L108" s="4" t="s">
        <v>85</v>
      </c>
      <c r="M108" s="4" t="s">
        <v>49</v>
      </c>
      <c r="N108" s="4" t="s">
        <v>55</v>
      </c>
      <c r="O108" s="5">
        <v>44870</v>
      </c>
      <c r="P108" s="4">
        <v>1399.98</v>
      </c>
      <c r="Q108" s="8">
        <f t="shared" ca="1" si="1"/>
        <v>46173.713128356481</v>
      </c>
      <c r="R108" s="7">
        <f ca="1">DATEDIF(data[[#This Row],[Customer_Since]],data[[#This Row],[Timestamp]],"M")</f>
        <v>42</v>
      </c>
      <c r="S108">
        <f>COUNTIF($H$5:H108,H108)</f>
        <v>11</v>
      </c>
      <c r="T108">
        <f>COUNTIF($L$5:L108,L108)</f>
        <v>19</v>
      </c>
      <c r="U108">
        <f>COUNTIF($M$5:M108,M108)</f>
        <v>18</v>
      </c>
      <c r="V108" s="14">
        <f>EOMONTH(data[[#This Row],[Date]],0)</f>
        <v>45504</v>
      </c>
    </row>
    <row r="109" spans="2:22" ht="15.75" customHeight="1" x14ac:dyDescent="0.3">
      <c r="B109" s="4" t="s">
        <v>267</v>
      </c>
      <c r="C109" s="9">
        <v>45497</v>
      </c>
      <c r="D109" s="4" t="s">
        <v>166</v>
      </c>
      <c r="E109" s="4" t="str">
        <f>RIGHT(data[[#This Row],[Customer_ID]],3)</f>
        <v>031</v>
      </c>
      <c r="F109" s="4" t="s">
        <v>167</v>
      </c>
      <c r="G109" s="4" t="s">
        <v>59</v>
      </c>
      <c r="H109" s="4" t="s">
        <v>60</v>
      </c>
      <c r="I109" s="4" t="s">
        <v>61</v>
      </c>
      <c r="J109" s="4">
        <v>3</v>
      </c>
      <c r="K109" s="4">
        <v>59.99</v>
      </c>
      <c r="L109" s="4" t="s">
        <v>54</v>
      </c>
      <c r="M109" s="4" t="s">
        <v>49</v>
      </c>
      <c r="N109" s="4" t="s">
        <v>55</v>
      </c>
      <c r="O109" s="5">
        <v>44717</v>
      </c>
      <c r="P109" s="4">
        <v>179.97</v>
      </c>
      <c r="Q109" s="8">
        <f t="shared" ca="1" si="1"/>
        <v>46173.713128356481</v>
      </c>
      <c r="R109" s="7">
        <f ca="1">DATEDIF(data[[#This Row],[Customer_Since]],data[[#This Row],[Timestamp]],"M")</f>
        <v>47</v>
      </c>
      <c r="S109">
        <f>COUNTIF($H$5:H109,H109)</f>
        <v>15</v>
      </c>
      <c r="T109">
        <f>COUNTIF($L$5:L109,L109)</f>
        <v>31</v>
      </c>
      <c r="U109">
        <f>COUNTIF($M$5:M109,M109)</f>
        <v>19</v>
      </c>
      <c r="V109" s="14">
        <f>EOMONTH(data[[#This Row],[Date]],0)</f>
        <v>45504</v>
      </c>
    </row>
    <row r="110" spans="2:22" ht="15.75" customHeight="1" x14ac:dyDescent="0.3">
      <c r="B110" s="4" t="s">
        <v>268</v>
      </c>
      <c r="C110" s="9">
        <v>45498</v>
      </c>
      <c r="D110" s="4" t="s">
        <v>160</v>
      </c>
      <c r="E110" s="4" t="str">
        <f>RIGHT(data[[#This Row],[Customer_ID]],3)</f>
        <v>002</v>
      </c>
      <c r="F110" s="4" t="s">
        <v>161</v>
      </c>
      <c r="G110" s="4" t="s">
        <v>59</v>
      </c>
      <c r="H110" s="4" t="s">
        <v>60</v>
      </c>
      <c r="I110" s="4" t="s">
        <v>61</v>
      </c>
      <c r="J110" s="4">
        <v>3</v>
      </c>
      <c r="K110" s="4">
        <v>59.99</v>
      </c>
      <c r="L110" s="4" t="s">
        <v>62</v>
      </c>
      <c r="M110" s="4" t="s">
        <v>91</v>
      </c>
      <c r="N110" s="4" t="s">
        <v>64</v>
      </c>
      <c r="O110" s="5">
        <v>44748</v>
      </c>
      <c r="P110" s="4">
        <v>179.97</v>
      </c>
      <c r="Q110" s="8">
        <f t="shared" ca="1" si="1"/>
        <v>46173.713128356481</v>
      </c>
      <c r="R110" s="7">
        <f ca="1">DATEDIF(data[[#This Row],[Customer_Since]],data[[#This Row],[Timestamp]],"M")</f>
        <v>46</v>
      </c>
      <c r="S110">
        <f>COUNTIF($H$5:H110,H110)</f>
        <v>16</v>
      </c>
      <c r="T110">
        <f>COUNTIF($L$5:L110,L110)</f>
        <v>19</v>
      </c>
      <c r="U110">
        <f>COUNTIF($M$5:M110,M110)</f>
        <v>22</v>
      </c>
      <c r="V110" s="14">
        <f>EOMONTH(data[[#This Row],[Date]],0)</f>
        <v>45504</v>
      </c>
    </row>
    <row r="111" spans="2:22" ht="15.75" customHeight="1" x14ac:dyDescent="0.3">
      <c r="B111" s="4" t="s">
        <v>269</v>
      </c>
      <c r="C111" s="9">
        <v>45499</v>
      </c>
      <c r="D111" s="4" t="s">
        <v>169</v>
      </c>
      <c r="E111" s="4" t="str">
        <f>RIGHT(data[[#This Row],[Customer_ID]],3)</f>
        <v>008</v>
      </c>
      <c r="F111" s="4" t="s">
        <v>170</v>
      </c>
      <c r="G111" s="4" t="s">
        <v>142</v>
      </c>
      <c r="H111" s="4" t="s">
        <v>143</v>
      </c>
      <c r="I111" s="4" t="s">
        <v>61</v>
      </c>
      <c r="J111" s="4">
        <v>4</v>
      </c>
      <c r="K111" s="4">
        <v>79.989999999999995</v>
      </c>
      <c r="L111" s="4" t="s">
        <v>48</v>
      </c>
      <c r="M111" s="4" t="s">
        <v>68</v>
      </c>
      <c r="N111" s="4" t="s">
        <v>50</v>
      </c>
      <c r="O111" s="5">
        <v>44530</v>
      </c>
      <c r="P111" s="4">
        <v>319.95999999999998</v>
      </c>
      <c r="Q111" s="8">
        <f t="shared" ca="1" si="1"/>
        <v>46173.713128356481</v>
      </c>
      <c r="R111" s="7">
        <f ca="1">DATEDIF(data[[#This Row],[Customer_Since]],data[[#This Row],[Timestamp]],"M")</f>
        <v>54</v>
      </c>
      <c r="S111">
        <f>COUNTIF($H$5:H111,H111)</f>
        <v>7</v>
      </c>
      <c r="T111">
        <f>COUNTIF($L$5:L111,L111)</f>
        <v>38</v>
      </c>
      <c r="U111">
        <f>COUNTIF($M$5:M111,M111)</f>
        <v>30</v>
      </c>
      <c r="V111" s="14">
        <f>EOMONTH(data[[#This Row],[Date]],0)</f>
        <v>45504</v>
      </c>
    </row>
    <row r="112" spans="2:22" ht="15.75" customHeight="1" x14ac:dyDescent="0.3">
      <c r="B112" s="4" t="s">
        <v>270</v>
      </c>
      <c r="C112" s="9">
        <v>45500</v>
      </c>
      <c r="D112" s="4" t="s">
        <v>83</v>
      </c>
      <c r="E112" s="4" t="str">
        <f>RIGHT(data[[#This Row],[Customer_ID]],3)</f>
        <v>017</v>
      </c>
      <c r="F112" s="4" t="s">
        <v>84</v>
      </c>
      <c r="G112" s="4" t="s">
        <v>142</v>
      </c>
      <c r="H112" s="4" t="s">
        <v>143</v>
      </c>
      <c r="I112" s="4" t="s">
        <v>61</v>
      </c>
      <c r="J112" s="4">
        <v>1</v>
      </c>
      <c r="K112" s="4">
        <v>79.989999999999995</v>
      </c>
      <c r="L112" s="4" t="s">
        <v>48</v>
      </c>
      <c r="M112" s="4" t="s">
        <v>78</v>
      </c>
      <c r="N112" s="4" t="s">
        <v>50</v>
      </c>
      <c r="O112" s="5">
        <v>44693</v>
      </c>
      <c r="P112" s="4">
        <v>79.989999999999995</v>
      </c>
      <c r="Q112" s="8">
        <f t="shared" ca="1" si="1"/>
        <v>46173.713128356481</v>
      </c>
      <c r="R112" s="7">
        <f ca="1">DATEDIF(data[[#This Row],[Customer_Since]],data[[#This Row],[Timestamp]],"M")</f>
        <v>48</v>
      </c>
      <c r="S112">
        <f>COUNTIF($H$5:H112,H112)</f>
        <v>8</v>
      </c>
      <c r="T112">
        <f>COUNTIF($L$5:L112,L112)</f>
        <v>39</v>
      </c>
      <c r="U112">
        <f>COUNTIF($M$5:M112,M112)</f>
        <v>21</v>
      </c>
      <c r="V112" s="14">
        <f>EOMONTH(data[[#This Row],[Date]],0)</f>
        <v>45504</v>
      </c>
    </row>
    <row r="113" spans="2:22" ht="15.75" customHeight="1" x14ac:dyDescent="0.3">
      <c r="B113" s="4" t="s">
        <v>271</v>
      </c>
      <c r="C113" s="9">
        <v>45501</v>
      </c>
      <c r="D113" s="4" t="s">
        <v>76</v>
      </c>
      <c r="E113" s="4" t="str">
        <f>RIGHT(data[[#This Row],[Customer_ID]],3)</f>
        <v>024</v>
      </c>
      <c r="F113" s="4" t="s">
        <v>77</v>
      </c>
      <c r="G113" s="4" t="s">
        <v>133</v>
      </c>
      <c r="H113" s="4" t="s">
        <v>134</v>
      </c>
      <c r="I113" s="4" t="s">
        <v>74</v>
      </c>
      <c r="J113" s="4">
        <v>3</v>
      </c>
      <c r="K113" s="4">
        <v>299.99</v>
      </c>
      <c r="L113" s="4" t="s">
        <v>54</v>
      </c>
      <c r="M113" s="4" t="s">
        <v>49</v>
      </c>
      <c r="N113" s="4" t="s">
        <v>55</v>
      </c>
      <c r="O113" s="5">
        <v>44494</v>
      </c>
      <c r="P113" s="4">
        <v>899.97</v>
      </c>
      <c r="Q113" s="8">
        <f t="shared" ca="1" si="1"/>
        <v>46173.713128356481</v>
      </c>
      <c r="R113" s="7">
        <f ca="1">DATEDIF(data[[#This Row],[Customer_Since]],data[[#This Row],[Timestamp]],"M")</f>
        <v>55</v>
      </c>
      <c r="S113">
        <f>COUNTIF($H$5:H113,H113)</f>
        <v>9</v>
      </c>
      <c r="T113">
        <f>COUNTIF($L$5:L113,L113)</f>
        <v>32</v>
      </c>
      <c r="U113">
        <f>COUNTIF($M$5:M113,M113)</f>
        <v>20</v>
      </c>
      <c r="V113" s="14">
        <f>EOMONTH(data[[#This Row],[Date]],0)</f>
        <v>45504</v>
      </c>
    </row>
    <row r="114" spans="2:22" ht="15.75" customHeight="1" x14ac:dyDescent="0.3">
      <c r="B114" s="4" t="s">
        <v>272</v>
      </c>
      <c r="C114" s="9">
        <v>45502</v>
      </c>
      <c r="D114" s="4" t="s">
        <v>66</v>
      </c>
      <c r="E114" s="4" t="str">
        <f>RIGHT(data[[#This Row],[Customer_ID]],3)</f>
        <v>046</v>
      </c>
      <c r="F114" s="4" t="s">
        <v>67</v>
      </c>
      <c r="G114" s="4" t="s">
        <v>145</v>
      </c>
      <c r="H114" s="4" t="s">
        <v>146</v>
      </c>
      <c r="I114" s="4" t="s">
        <v>47</v>
      </c>
      <c r="J114" s="4">
        <v>2</v>
      </c>
      <c r="K114" s="4">
        <v>89.99</v>
      </c>
      <c r="L114" s="4" t="s">
        <v>54</v>
      </c>
      <c r="M114" s="4" t="s">
        <v>63</v>
      </c>
      <c r="N114" s="4" t="s">
        <v>55</v>
      </c>
      <c r="O114" s="5">
        <v>44641</v>
      </c>
      <c r="P114" s="4">
        <v>179.98</v>
      </c>
      <c r="Q114" s="8">
        <f t="shared" ca="1" si="1"/>
        <v>46173.713128356481</v>
      </c>
      <c r="R114" s="7">
        <f ca="1">DATEDIF(data[[#This Row],[Customer_Since]],data[[#This Row],[Timestamp]],"M")</f>
        <v>50</v>
      </c>
      <c r="S114">
        <f>COUNTIF($H$5:H114,H114)</f>
        <v>17</v>
      </c>
      <c r="T114">
        <f>COUNTIF($L$5:L114,L114)</f>
        <v>33</v>
      </c>
      <c r="U114">
        <f>COUNTIF($M$5:M114,M114)</f>
        <v>17</v>
      </c>
      <c r="V114" s="14">
        <f>EOMONTH(data[[#This Row],[Date]],0)</f>
        <v>45504</v>
      </c>
    </row>
    <row r="115" spans="2:22" ht="15.75" customHeight="1" x14ac:dyDescent="0.3">
      <c r="B115" s="4" t="s">
        <v>273</v>
      </c>
      <c r="C115" s="9">
        <v>45503</v>
      </c>
      <c r="D115" s="4" t="s">
        <v>274</v>
      </c>
      <c r="E115" s="4" t="str">
        <f>RIGHT(data[[#This Row],[Customer_ID]],3)</f>
        <v>042</v>
      </c>
      <c r="F115" s="4" t="s">
        <v>275</v>
      </c>
      <c r="G115" s="4" t="s">
        <v>80</v>
      </c>
      <c r="H115" s="4" t="s">
        <v>81</v>
      </c>
      <c r="I115" s="4" t="s">
        <v>47</v>
      </c>
      <c r="J115" s="4">
        <v>4</v>
      </c>
      <c r="K115" s="4">
        <v>149.99</v>
      </c>
      <c r="L115" s="4" t="s">
        <v>48</v>
      </c>
      <c r="M115" s="4" t="s">
        <v>68</v>
      </c>
      <c r="N115" s="4" t="s">
        <v>50</v>
      </c>
      <c r="O115" s="5">
        <v>44909</v>
      </c>
      <c r="P115" s="4">
        <v>599.96</v>
      </c>
      <c r="Q115" s="8">
        <f t="shared" ca="1" si="1"/>
        <v>46173.713128356481</v>
      </c>
      <c r="R115" s="7">
        <f ca="1">DATEDIF(data[[#This Row],[Customer_Since]],data[[#This Row],[Timestamp]],"M")</f>
        <v>41</v>
      </c>
      <c r="S115">
        <f>COUNTIF($H$5:H115,H115)</f>
        <v>6</v>
      </c>
      <c r="T115">
        <f>COUNTIF($L$5:L115,L115)</f>
        <v>40</v>
      </c>
      <c r="U115">
        <f>COUNTIF($M$5:M115,M115)</f>
        <v>31</v>
      </c>
      <c r="V115" s="14">
        <f>EOMONTH(data[[#This Row],[Date]],0)</f>
        <v>45504</v>
      </c>
    </row>
    <row r="116" spans="2:22" ht="15.75" customHeight="1" x14ac:dyDescent="0.3">
      <c r="B116" s="4" t="s">
        <v>276</v>
      </c>
      <c r="C116" s="9">
        <v>45504</v>
      </c>
      <c r="D116" s="4" t="s">
        <v>93</v>
      </c>
      <c r="E116" s="4" t="str">
        <f>RIGHT(data[[#This Row],[Customer_ID]],3)</f>
        <v>026</v>
      </c>
      <c r="F116" s="4" t="s">
        <v>94</v>
      </c>
      <c r="G116" s="4" t="s">
        <v>45</v>
      </c>
      <c r="H116" s="4" t="s">
        <v>46</v>
      </c>
      <c r="I116" s="4" t="s">
        <v>47</v>
      </c>
      <c r="J116" s="4">
        <v>2</v>
      </c>
      <c r="K116" s="4">
        <v>249.99</v>
      </c>
      <c r="L116" s="4" t="s">
        <v>62</v>
      </c>
      <c r="M116" s="4" t="s">
        <v>63</v>
      </c>
      <c r="N116" s="4" t="s">
        <v>50</v>
      </c>
      <c r="O116" s="5">
        <v>44993</v>
      </c>
      <c r="P116" s="4">
        <v>499.98</v>
      </c>
      <c r="Q116" s="8">
        <f t="shared" ca="1" si="1"/>
        <v>46173.713128356481</v>
      </c>
      <c r="R116" s="7">
        <f ca="1">DATEDIF(data[[#This Row],[Customer_Since]],data[[#This Row],[Timestamp]],"M")</f>
        <v>38</v>
      </c>
      <c r="S116">
        <f>COUNTIF($H$5:H116,H116)</f>
        <v>14</v>
      </c>
      <c r="T116">
        <f>COUNTIF($L$5:L116,L116)</f>
        <v>20</v>
      </c>
      <c r="U116">
        <f>COUNTIF($M$5:M116,M116)</f>
        <v>18</v>
      </c>
      <c r="V116" s="14">
        <f>EOMONTH(data[[#This Row],[Date]],0)</f>
        <v>45504</v>
      </c>
    </row>
    <row r="117" spans="2:22" ht="15.75" customHeight="1" x14ac:dyDescent="0.3">
      <c r="B117" s="4" t="s">
        <v>277</v>
      </c>
      <c r="C117" s="9">
        <v>45505</v>
      </c>
      <c r="D117" s="4" t="s">
        <v>182</v>
      </c>
      <c r="E117" s="4" t="str">
        <f>RIGHT(data[[#This Row],[Customer_ID]],3)</f>
        <v>004</v>
      </c>
      <c r="F117" s="4" t="s">
        <v>183</v>
      </c>
      <c r="G117" s="4" t="s">
        <v>154</v>
      </c>
      <c r="H117" s="4" t="s">
        <v>155</v>
      </c>
      <c r="I117" s="4" t="s">
        <v>74</v>
      </c>
      <c r="J117" s="4">
        <v>4</v>
      </c>
      <c r="K117" s="4">
        <v>199.99</v>
      </c>
      <c r="L117" s="4" t="s">
        <v>85</v>
      </c>
      <c r="M117" s="4" t="s">
        <v>91</v>
      </c>
      <c r="N117" s="4" t="s">
        <v>50</v>
      </c>
      <c r="O117" s="5">
        <v>44458</v>
      </c>
      <c r="P117" s="4">
        <v>799.96</v>
      </c>
      <c r="Q117" s="8">
        <f t="shared" ca="1" si="1"/>
        <v>46173.713128356481</v>
      </c>
      <c r="R117" s="7">
        <f ca="1">DATEDIF(data[[#This Row],[Customer_Since]],data[[#This Row],[Timestamp]],"M")</f>
        <v>56</v>
      </c>
      <c r="S117">
        <f>COUNTIF($H$5:H117,H117)</f>
        <v>7</v>
      </c>
      <c r="T117">
        <f>COUNTIF($L$5:L117,L117)</f>
        <v>20</v>
      </c>
      <c r="U117">
        <f>COUNTIF($M$5:M117,M117)</f>
        <v>23</v>
      </c>
      <c r="V117" s="14">
        <f>EOMONTH(data[[#This Row],[Date]],0)</f>
        <v>45535</v>
      </c>
    </row>
    <row r="118" spans="2:22" ht="15.75" customHeight="1" x14ac:dyDescent="0.3">
      <c r="B118" s="4" t="s">
        <v>278</v>
      </c>
      <c r="C118" s="9">
        <v>45506</v>
      </c>
      <c r="D118" s="4" t="s">
        <v>175</v>
      </c>
      <c r="E118" s="4" t="str">
        <f>RIGHT(data[[#This Row],[Customer_ID]],3)</f>
        <v>019</v>
      </c>
      <c r="F118" s="4" t="s">
        <v>176</v>
      </c>
      <c r="G118" s="4" t="s">
        <v>145</v>
      </c>
      <c r="H118" s="4" t="s">
        <v>146</v>
      </c>
      <c r="I118" s="4" t="s">
        <v>47</v>
      </c>
      <c r="J118" s="4">
        <v>5</v>
      </c>
      <c r="K118" s="4">
        <v>89.99</v>
      </c>
      <c r="L118" s="4" t="s">
        <v>54</v>
      </c>
      <c r="M118" s="4" t="s">
        <v>91</v>
      </c>
      <c r="N118" s="4" t="s">
        <v>55</v>
      </c>
      <c r="O118" s="5">
        <v>44446</v>
      </c>
      <c r="P118" s="4">
        <v>449.95</v>
      </c>
      <c r="Q118" s="8">
        <f t="shared" ca="1" si="1"/>
        <v>46173.713128356481</v>
      </c>
      <c r="R118" s="7">
        <f ca="1">DATEDIF(data[[#This Row],[Customer_Since]],data[[#This Row],[Timestamp]],"M")</f>
        <v>56</v>
      </c>
      <c r="S118">
        <f>COUNTIF($H$5:H118,H118)</f>
        <v>18</v>
      </c>
      <c r="T118">
        <f>COUNTIF($L$5:L118,L118)</f>
        <v>34</v>
      </c>
      <c r="U118">
        <f>COUNTIF($M$5:M118,M118)</f>
        <v>24</v>
      </c>
      <c r="V118" s="14">
        <f>EOMONTH(data[[#This Row],[Date]],0)</f>
        <v>45535</v>
      </c>
    </row>
    <row r="119" spans="2:22" ht="15.75" customHeight="1" x14ac:dyDescent="0.3">
      <c r="B119" s="4" t="s">
        <v>279</v>
      </c>
      <c r="C119" s="9">
        <v>45507</v>
      </c>
      <c r="D119" s="4" t="s">
        <v>280</v>
      </c>
      <c r="E119" s="4" t="str">
        <f>RIGHT(data[[#This Row],[Customer_ID]],3)</f>
        <v>011</v>
      </c>
      <c r="F119" s="4" t="s">
        <v>281</v>
      </c>
      <c r="G119" s="4" t="s">
        <v>80</v>
      </c>
      <c r="H119" s="4" t="s">
        <v>81</v>
      </c>
      <c r="I119" s="4" t="s">
        <v>47</v>
      </c>
      <c r="J119" s="4">
        <v>1</v>
      </c>
      <c r="K119" s="4">
        <v>149.99</v>
      </c>
      <c r="L119" s="4" t="s">
        <v>62</v>
      </c>
      <c r="M119" s="4" t="s">
        <v>91</v>
      </c>
      <c r="N119" s="4" t="s">
        <v>64</v>
      </c>
      <c r="O119" s="5">
        <v>44482</v>
      </c>
      <c r="P119" s="4">
        <v>149.99</v>
      </c>
      <c r="Q119" s="8">
        <f t="shared" ca="1" si="1"/>
        <v>46173.713128356481</v>
      </c>
      <c r="R119" s="7">
        <f ca="1">DATEDIF(data[[#This Row],[Customer_Since]],data[[#This Row],[Timestamp]],"M")</f>
        <v>55</v>
      </c>
      <c r="S119">
        <f>COUNTIF($H$5:H119,H119)</f>
        <v>7</v>
      </c>
      <c r="T119">
        <f>COUNTIF($L$5:L119,L119)</f>
        <v>21</v>
      </c>
      <c r="U119">
        <f>COUNTIF($M$5:M119,M119)</f>
        <v>25</v>
      </c>
      <c r="V119" s="14">
        <f>EOMONTH(data[[#This Row],[Date]],0)</f>
        <v>45535</v>
      </c>
    </row>
    <row r="120" spans="2:22" ht="15.75" customHeight="1" x14ac:dyDescent="0.3">
      <c r="B120" s="4" t="s">
        <v>282</v>
      </c>
      <c r="C120" s="9">
        <v>45508</v>
      </c>
      <c r="D120" s="4" t="s">
        <v>100</v>
      </c>
      <c r="E120" s="4" t="str">
        <f>RIGHT(data[[#This Row],[Customer_ID]],3)</f>
        <v>041</v>
      </c>
      <c r="F120" s="4" t="s">
        <v>101</v>
      </c>
      <c r="G120" s="4" t="s">
        <v>108</v>
      </c>
      <c r="H120" s="4" t="s">
        <v>109</v>
      </c>
      <c r="I120" s="4" t="s">
        <v>47</v>
      </c>
      <c r="J120" s="4">
        <v>4</v>
      </c>
      <c r="K120" s="4">
        <v>699.99</v>
      </c>
      <c r="L120" s="4" t="s">
        <v>62</v>
      </c>
      <c r="M120" s="4" t="s">
        <v>63</v>
      </c>
      <c r="N120" s="4" t="s">
        <v>50</v>
      </c>
      <c r="O120" s="5">
        <v>44618</v>
      </c>
      <c r="P120" s="4">
        <v>2799.96</v>
      </c>
      <c r="Q120" s="8">
        <f t="shared" ca="1" si="1"/>
        <v>46173.713128356481</v>
      </c>
      <c r="R120" s="7">
        <f ca="1">DATEDIF(data[[#This Row],[Customer_Since]],data[[#This Row],[Timestamp]],"M")</f>
        <v>51</v>
      </c>
      <c r="S120">
        <f>COUNTIF($H$5:H120,H120)</f>
        <v>12</v>
      </c>
      <c r="T120">
        <f>COUNTIF($L$5:L120,L120)</f>
        <v>22</v>
      </c>
      <c r="U120">
        <f>COUNTIF($M$5:M120,M120)</f>
        <v>19</v>
      </c>
      <c r="V120" s="14">
        <f>EOMONTH(data[[#This Row],[Date]],0)</f>
        <v>45535</v>
      </c>
    </row>
    <row r="121" spans="2:22" ht="15.75" customHeight="1" x14ac:dyDescent="0.3">
      <c r="B121" s="4" t="s">
        <v>283</v>
      </c>
      <c r="C121" s="9">
        <v>45509</v>
      </c>
      <c r="D121" s="4" t="s">
        <v>262</v>
      </c>
      <c r="E121" s="4" t="str">
        <f>RIGHT(data[[#This Row],[Customer_ID]],3)</f>
        <v>032</v>
      </c>
      <c r="F121" s="4" t="s">
        <v>263</v>
      </c>
      <c r="G121" s="4" t="s">
        <v>89</v>
      </c>
      <c r="H121" s="4" t="s">
        <v>90</v>
      </c>
      <c r="I121" s="4" t="s">
        <v>47</v>
      </c>
      <c r="J121" s="4">
        <v>3</v>
      </c>
      <c r="K121" s="4">
        <v>899.99</v>
      </c>
      <c r="L121" s="4" t="s">
        <v>54</v>
      </c>
      <c r="M121" s="4" t="s">
        <v>68</v>
      </c>
      <c r="N121" s="4" t="s">
        <v>64</v>
      </c>
      <c r="O121" s="5">
        <v>45157</v>
      </c>
      <c r="P121" s="4">
        <v>2699.97</v>
      </c>
      <c r="Q121" s="8">
        <f t="shared" ca="1" si="1"/>
        <v>46173.713128356481</v>
      </c>
      <c r="R121" s="7">
        <f ca="1">DATEDIF(data[[#This Row],[Customer_Since]],data[[#This Row],[Timestamp]],"M")</f>
        <v>33</v>
      </c>
      <c r="S121">
        <f>COUNTIF($H$5:H121,H121)</f>
        <v>12</v>
      </c>
      <c r="T121">
        <f>COUNTIF($L$5:L121,L121)</f>
        <v>35</v>
      </c>
      <c r="U121">
        <f>COUNTIF($M$5:M121,M121)</f>
        <v>32</v>
      </c>
      <c r="V121" s="14">
        <f>EOMONTH(data[[#This Row],[Date]],0)</f>
        <v>45535</v>
      </c>
    </row>
    <row r="122" spans="2:22" ht="15.75" customHeight="1" x14ac:dyDescent="0.3">
      <c r="B122" s="4" t="s">
        <v>284</v>
      </c>
      <c r="C122" s="9">
        <v>45510</v>
      </c>
      <c r="D122" s="4" t="s">
        <v>140</v>
      </c>
      <c r="E122" s="4" t="str">
        <f>RIGHT(data[[#This Row],[Customer_ID]],3)</f>
        <v>014</v>
      </c>
      <c r="F122" s="4" t="s">
        <v>141</v>
      </c>
      <c r="G122" s="4" t="s">
        <v>72</v>
      </c>
      <c r="H122" s="4" t="s">
        <v>73</v>
      </c>
      <c r="I122" s="4" t="s">
        <v>74</v>
      </c>
      <c r="J122" s="4">
        <v>3</v>
      </c>
      <c r="K122" s="4">
        <v>149.99</v>
      </c>
      <c r="L122" s="4" t="s">
        <v>62</v>
      </c>
      <c r="M122" s="4" t="s">
        <v>91</v>
      </c>
      <c r="N122" s="4" t="s">
        <v>50</v>
      </c>
      <c r="O122" s="5">
        <v>44886</v>
      </c>
      <c r="P122" s="4">
        <v>449.97</v>
      </c>
      <c r="Q122" s="8">
        <f t="shared" ca="1" si="1"/>
        <v>46173.713128356481</v>
      </c>
      <c r="R122" s="7">
        <f ca="1">DATEDIF(data[[#This Row],[Customer_Since]],data[[#This Row],[Timestamp]],"M")</f>
        <v>42</v>
      </c>
      <c r="S122">
        <f>COUNTIF($H$5:H122,H122)</f>
        <v>15</v>
      </c>
      <c r="T122">
        <f>COUNTIF($L$5:L122,L122)</f>
        <v>23</v>
      </c>
      <c r="U122">
        <f>COUNTIF($M$5:M122,M122)</f>
        <v>26</v>
      </c>
      <c r="V122" s="14">
        <f>EOMONTH(data[[#This Row],[Date]],0)</f>
        <v>45535</v>
      </c>
    </row>
    <row r="123" spans="2:22" ht="15.75" customHeight="1" x14ac:dyDescent="0.3">
      <c r="B123" s="4" t="s">
        <v>285</v>
      </c>
      <c r="C123" s="9">
        <v>45511</v>
      </c>
      <c r="D123" s="4" t="s">
        <v>127</v>
      </c>
      <c r="E123" s="4" t="str">
        <f>RIGHT(data[[#This Row],[Customer_ID]],3)</f>
        <v>012</v>
      </c>
      <c r="F123" s="4" t="s">
        <v>128</v>
      </c>
      <c r="G123" s="4" t="s">
        <v>133</v>
      </c>
      <c r="H123" s="4" t="s">
        <v>134</v>
      </c>
      <c r="I123" s="4" t="s">
        <v>74</v>
      </c>
      <c r="J123" s="4">
        <v>2</v>
      </c>
      <c r="K123" s="4">
        <v>299.99</v>
      </c>
      <c r="L123" s="4" t="s">
        <v>85</v>
      </c>
      <c r="M123" s="4" t="s">
        <v>49</v>
      </c>
      <c r="N123" s="4" t="s">
        <v>50</v>
      </c>
      <c r="O123" s="5">
        <v>44569</v>
      </c>
      <c r="P123" s="4">
        <v>599.98</v>
      </c>
      <c r="Q123" s="8">
        <f t="shared" ca="1" si="1"/>
        <v>46173.713128356481</v>
      </c>
      <c r="R123" s="7">
        <f ca="1">DATEDIF(data[[#This Row],[Customer_Since]],data[[#This Row],[Timestamp]],"M")</f>
        <v>52</v>
      </c>
      <c r="S123">
        <f>COUNTIF($H$5:H123,H123)</f>
        <v>10</v>
      </c>
      <c r="T123">
        <f>COUNTIF($L$5:L123,L123)</f>
        <v>21</v>
      </c>
      <c r="U123">
        <f>COUNTIF($M$5:M123,M123)</f>
        <v>21</v>
      </c>
      <c r="V123" s="14">
        <f>EOMONTH(data[[#This Row],[Date]],0)</f>
        <v>45535</v>
      </c>
    </row>
    <row r="124" spans="2:22" ht="15.75" customHeight="1" x14ac:dyDescent="0.3">
      <c r="B124" s="4" t="s">
        <v>286</v>
      </c>
      <c r="C124" s="9">
        <v>45512</v>
      </c>
      <c r="D124" s="4" t="s">
        <v>287</v>
      </c>
      <c r="E124" s="4" t="str">
        <f>RIGHT(data[[#This Row],[Customer_ID]],3)</f>
        <v>015</v>
      </c>
      <c r="F124" s="4" t="s">
        <v>288</v>
      </c>
      <c r="G124" s="4" t="s">
        <v>154</v>
      </c>
      <c r="H124" s="4" t="s">
        <v>155</v>
      </c>
      <c r="I124" s="4" t="s">
        <v>74</v>
      </c>
      <c r="J124" s="4">
        <v>1</v>
      </c>
      <c r="K124" s="4">
        <v>199.99</v>
      </c>
      <c r="L124" s="4" t="s">
        <v>85</v>
      </c>
      <c r="M124" s="4" t="s">
        <v>91</v>
      </c>
      <c r="N124" s="4" t="s">
        <v>64</v>
      </c>
      <c r="O124" s="5">
        <v>44953</v>
      </c>
      <c r="P124" s="4">
        <v>199.99</v>
      </c>
      <c r="Q124" s="8">
        <f t="shared" ca="1" si="1"/>
        <v>46173.713128356481</v>
      </c>
      <c r="R124" s="7">
        <f ca="1">DATEDIF(data[[#This Row],[Customer_Since]],data[[#This Row],[Timestamp]],"M")</f>
        <v>40</v>
      </c>
      <c r="S124">
        <f>COUNTIF($H$5:H124,H124)</f>
        <v>8</v>
      </c>
      <c r="T124">
        <f>COUNTIF($L$5:L124,L124)</f>
        <v>22</v>
      </c>
      <c r="U124">
        <f>COUNTIF($M$5:M124,M124)</f>
        <v>27</v>
      </c>
      <c r="V124" s="14">
        <f>EOMONTH(data[[#This Row],[Date]],0)</f>
        <v>45535</v>
      </c>
    </row>
    <row r="125" spans="2:22" ht="15.75" customHeight="1" x14ac:dyDescent="0.3">
      <c r="B125" s="4" t="s">
        <v>289</v>
      </c>
      <c r="C125" s="9">
        <v>45513</v>
      </c>
      <c r="D125" s="4" t="s">
        <v>70</v>
      </c>
      <c r="E125" s="4" t="str">
        <f>RIGHT(data[[#This Row],[Customer_ID]],3)</f>
        <v>003</v>
      </c>
      <c r="F125" s="4" t="s">
        <v>71</v>
      </c>
      <c r="G125" s="4" t="s">
        <v>133</v>
      </c>
      <c r="H125" s="4" t="s">
        <v>134</v>
      </c>
      <c r="I125" s="4" t="s">
        <v>74</v>
      </c>
      <c r="J125" s="4">
        <v>4</v>
      </c>
      <c r="K125" s="4">
        <v>299.99</v>
      </c>
      <c r="L125" s="4" t="s">
        <v>48</v>
      </c>
      <c r="M125" s="4" t="s">
        <v>49</v>
      </c>
      <c r="N125" s="4" t="s">
        <v>55</v>
      </c>
      <c r="O125" s="5">
        <v>44460</v>
      </c>
      <c r="P125" s="4">
        <v>1199.96</v>
      </c>
      <c r="Q125" s="8">
        <f t="shared" ca="1" si="1"/>
        <v>46173.713128356481</v>
      </c>
      <c r="R125" s="7">
        <f ca="1">DATEDIF(data[[#This Row],[Customer_Since]],data[[#This Row],[Timestamp]],"M")</f>
        <v>56</v>
      </c>
      <c r="S125">
        <f>COUNTIF($H$5:H125,H125)</f>
        <v>11</v>
      </c>
      <c r="T125">
        <f>COUNTIF($L$5:L125,L125)</f>
        <v>41</v>
      </c>
      <c r="U125">
        <f>COUNTIF($M$5:M125,M125)</f>
        <v>22</v>
      </c>
      <c r="V125" s="14">
        <f>EOMONTH(data[[#This Row],[Date]],0)</f>
        <v>45535</v>
      </c>
    </row>
    <row r="126" spans="2:22" ht="15.75" customHeight="1" x14ac:dyDescent="0.3">
      <c r="B126" s="4" t="s">
        <v>290</v>
      </c>
      <c r="C126" s="9">
        <v>45514</v>
      </c>
      <c r="D126" s="4" t="s">
        <v>117</v>
      </c>
      <c r="E126" s="4" t="str">
        <f>RIGHT(data[[#This Row],[Customer_ID]],3)</f>
        <v>010</v>
      </c>
      <c r="F126" s="4" t="s">
        <v>118</v>
      </c>
      <c r="G126" s="4" t="s">
        <v>59</v>
      </c>
      <c r="H126" s="4" t="s">
        <v>60</v>
      </c>
      <c r="I126" s="4" t="s">
        <v>61</v>
      </c>
      <c r="J126" s="4">
        <v>2</v>
      </c>
      <c r="K126" s="4">
        <v>59.99</v>
      </c>
      <c r="L126" s="4" t="s">
        <v>54</v>
      </c>
      <c r="M126" s="4" t="s">
        <v>49</v>
      </c>
      <c r="N126" s="4" t="s">
        <v>50</v>
      </c>
      <c r="O126" s="5">
        <v>44579</v>
      </c>
      <c r="P126" s="4">
        <v>119.98</v>
      </c>
      <c r="Q126" s="8">
        <f t="shared" ca="1" si="1"/>
        <v>46173.713128356481</v>
      </c>
      <c r="R126" s="7">
        <f ca="1">DATEDIF(data[[#This Row],[Customer_Since]],data[[#This Row],[Timestamp]],"M")</f>
        <v>52</v>
      </c>
      <c r="S126">
        <f>COUNTIF($H$5:H126,H126)</f>
        <v>17</v>
      </c>
      <c r="T126">
        <f>COUNTIF($L$5:L126,L126)</f>
        <v>36</v>
      </c>
      <c r="U126">
        <f>COUNTIF($M$5:M126,M126)</f>
        <v>23</v>
      </c>
      <c r="V126" s="14">
        <f>EOMONTH(data[[#This Row],[Date]],0)</f>
        <v>45535</v>
      </c>
    </row>
    <row r="127" spans="2:22" ht="15.75" customHeight="1" x14ac:dyDescent="0.3">
      <c r="B127" s="4" t="s">
        <v>291</v>
      </c>
      <c r="C127" s="9">
        <v>45515</v>
      </c>
      <c r="D127" s="4" t="s">
        <v>262</v>
      </c>
      <c r="E127" s="4" t="str">
        <f>RIGHT(data[[#This Row],[Customer_ID]],3)</f>
        <v>032</v>
      </c>
      <c r="F127" s="4" t="s">
        <v>263</v>
      </c>
      <c r="G127" s="4" t="s">
        <v>80</v>
      </c>
      <c r="H127" s="4" t="s">
        <v>81</v>
      </c>
      <c r="I127" s="4" t="s">
        <v>47</v>
      </c>
      <c r="J127" s="4">
        <v>4</v>
      </c>
      <c r="K127" s="4">
        <v>149.99</v>
      </c>
      <c r="L127" s="4" t="s">
        <v>54</v>
      </c>
      <c r="M127" s="4" t="s">
        <v>68</v>
      </c>
      <c r="N127" s="4" t="s">
        <v>55</v>
      </c>
      <c r="O127" s="5">
        <v>45076</v>
      </c>
      <c r="P127" s="4">
        <v>599.96</v>
      </c>
      <c r="Q127" s="8">
        <f t="shared" ca="1" si="1"/>
        <v>46173.713128356481</v>
      </c>
      <c r="R127" s="7">
        <f ca="1">DATEDIF(data[[#This Row],[Customer_Since]],data[[#This Row],[Timestamp]],"M")</f>
        <v>36</v>
      </c>
      <c r="S127">
        <f>COUNTIF($H$5:H127,H127)</f>
        <v>8</v>
      </c>
      <c r="T127">
        <f>COUNTIF($L$5:L127,L127)</f>
        <v>37</v>
      </c>
      <c r="U127">
        <f>COUNTIF($M$5:M127,M127)</f>
        <v>33</v>
      </c>
      <c r="V127" s="14">
        <f>EOMONTH(data[[#This Row],[Date]],0)</f>
        <v>45535</v>
      </c>
    </row>
    <row r="128" spans="2:22" ht="15.75" customHeight="1" x14ac:dyDescent="0.3">
      <c r="B128" s="4" t="s">
        <v>292</v>
      </c>
      <c r="C128" s="9">
        <v>45516</v>
      </c>
      <c r="D128" s="4" t="s">
        <v>239</v>
      </c>
      <c r="E128" s="4" t="str">
        <f>RIGHT(data[[#This Row],[Customer_ID]],3)</f>
        <v>016</v>
      </c>
      <c r="F128" s="4" t="s">
        <v>240</v>
      </c>
      <c r="G128" s="4" t="s">
        <v>108</v>
      </c>
      <c r="H128" s="4" t="s">
        <v>109</v>
      </c>
      <c r="I128" s="4" t="s">
        <v>47</v>
      </c>
      <c r="J128" s="4">
        <v>2</v>
      </c>
      <c r="K128" s="4">
        <v>699.99</v>
      </c>
      <c r="L128" s="4" t="s">
        <v>85</v>
      </c>
      <c r="M128" s="4" t="s">
        <v>91</v>
      </c>
      <c r="N128" s="4" t="s">
        <v>55</v>
      </c>
      <c r="O128" s="5">
        <v>45274</v>
      </c>
      <c r="P128" s="4">
        <v>1399.98</v>
      </c>
      <c r="Q128" s="8">
        <f t="shared" ca="1" si="1"/>
        <v>46173.713128356481</v>
      </c>
      <c r="R128" s="7">
        <f ca="1">DATEDIF(data[[#This Row],[Customer_Since]],data[[#This Row],[Timestamp]],"M")</f>
        <v>29</v>
      </c>
      <c r="S128">
        <f>COUNTIF($H$5:H128,H128)</f>
        <v>13</v>
      </c>
      <c r="T128">
        <f>COUNTIF($L$5:L128,L128)</f>
        <v>23</v>
      </c>
      <c r="U128">
        <f>COUNTIF($M$5:M128,M128)</f>
        <v>28</v>
      </c>
      <c r="V128" s="14">
        <f>EOMONTH(data[[#This Row],[Date]],0)</f>
        <v>45535</v>
      </c>
    </row>
    <row r="129" spans="2:22" ht="15.75" customHeight="1" x14ac:dyDescent="0.3">
      <c r="B129" s="4" t="s">
        <v>293</v>
      </c>
      <c r="C129" s="9">
        <v>45517</v>
      </c>
      <c r="D129" s="4" t="s">
        <v>259</v>
      </c>
      <c r="E129" s="4" t="str">
        <f>RIGHT(data[[#This Row],[Customer_ID]],3)</f>
        <v>034</v>
      </c>
      <c r="F129" s="4" t="s">
        <v>260</v>
      </c>
      <c r="G129" s="4" t="s">
        <v>72</v>
      </c>
      <c r="H129" s="4" t="s">
        <v>73</v>
      </c>
      <c r="I129" s="4" t="s">
        <v>74</v>
      </c>
      <c r="J129" s="4">
        <v>3</v>
      </c>
      <c r="K129" s="4">
        <v>149.99</v>
      </c>
      <c r="L129" s="4" t="s">
        <v>54</v>
      </c>
      <c r="M129" s="4" t="s">
        <v>63</v>
      </c>
      <c r="N129" s="4" t="s">
        <v>64</v>
      </c>
      <c r="O129" s="5">
        <v>44940</v>
      </c>
      <c r="P129" s="4">
        <v>449.97</v>
      </c>
      <c r="Q129" s="8">
        <f t="shared" ca="1" si="1"/>
        <v>46173.713128356481</v>
      </c>
      <c r="R129" s="7">
        <f ca="1">DATEDIF(data[[#This Row],[Customer_Since]],data[[#This Row],[Timestamp]],"M")</f>
        <v>40</v>
      </c>
      <c r="S129">
        <f>COUNTIF($H$5:H129,H129)</f>
        <v>16</v>
      </c>
      <c r="T129">
        <f>COUNTIF($L$5:L129,L129)</f>
        <v>38</v>
      </c>
      <c r="U129">
        <f>COUNTIF($M$5:M129,M129)</f>
        <v>20</v>
      </c>
      <c r="V129" s="14">
        <f>EOMONTH(data[[#This Row],[Date]],0)</f>
        <v>45535</v>
      </c>
    </row>
    <row r="130" spans="2:22" ht="15.75" customHeight="1" x14ac:dyDescent="0.3">
      <c r="B130" s="4" t="s">
        <v>294</v>
      </c>
      <c r="C130" s="9">
        <v>45518</v>
      </c>
      <c r="D130" s="4" t="s">
        <v>175</v>
      </c>
      <c r="E130" s="4" t="str">
        <f>RIGHT(data[[#This Row],[Customer_ID]],3)</f>
        <v>019</v>
      </c>
      <c r="F130" s="4" t="s">
        <v>176</v>
      </c>
      <c r="G130" s="4" t="s">
        <v>133</v>
      </c>
      <c r="H130" s="4" t="s">
        <v>134</v>
      </c>
      <c r="I130" s="4" t="s">
        <v>74</v>
      </c>
      <c r="J130" s="4">
        <v>3</v>
      </c>
      <c r="K130" s="4">
        <v>299.99</v>
      </c>
      <c r="L130" s="4" t="s">
        <v>54</v>
      </c>
      <c r="M130" s="4" t="s">
        <v>49</v>
      </c>
      <c r="N130" s="4" t="s">
        <v>64</v>
      </c>
      <c r="O130" s="5">
        <v>45174</v>
      </c>
      <c r="P130" s="4">
        <v>899.97</v>
      </c>
      <c r="Q130" s="8">
        <f t="shared" ca="1" si="1"/>
        <v>46173.713128356481</v>
      </c>
      <c r="R130" s="7">
        <f ca="1">DATEDIF(data[[#This Row],[Customer_Since]],data[[#This Row],[Timestamp]],"M")</f>
        <v>32</v>
      </c>
      <c r="S130">
        <f>COUNTIF($H$5:H130,H130)</f>
        <v>12</v>
      </c>
      <c r="T130">
        <f>COUNTIF($L$5:L130,L130)</f>
        <v>39</v>
      </c>
      <c r="U130">
        <f>COUNTIF($M$5:M130,M130)</f>
        <v>24</v>
      </c>
      <c r="V130" s="14">
        <f>EOMONTH(data[[#This Row],[Date]],0)</f>
        <v>45535</v>
      </c>
    </row>
    <row r="131" spans="2:22" ht="15.75" customHeight="1" x14ac:dyDescent="0.3">
      <c r="B131" s="4" t="s">
        <v>295</v>
      </c>
      <c r="C131" s="9">
        <v>45519</v>
      </c>
      <c r="D131" s="4" t="s">
        <v>111</v>
      </c>
      <c r="E131" s="4" t="str">
        <f>RIGHT(data[[#This Row],[Customer_ID]],3)</f>
        <v>027</v>
      </c>
      <c r="F131" s="4" t="s">
        <v>112</v>
      </c>
      <c r="G131" s="4" t="s">
        <v>89</v>
      </c>
      <c r="H131" s="4" t="s">
        <v>90</v>
      </c>
      <c r="I131" s="4" t="s">
        <v>47</v>
      </c>
      <c r="J131" s="4">
        <v>3</v>
      </c>
      <c r="K131" s="4">
        <v>899.99</v>
      </c>
      <c r="L131" s="4" t="s">
        <v>62</v>
      </c>
      <c r="M131" s="4" t="s">
        <v>78</v>
      </c>
      <c r="N131" s="4" t="s">
        <v>50</v>
      </c>
      <c r="O131" s="5">
        <v>45215</v>
      </c>
      <c r="P131" s="4">
        <v>2699.97</v>
      </c>
      <c r="Q131" s="8">
        <f t="shared" ca="1" si="1"/>
        <v>46173.713128356481</v>
      </c>
      <c r="R131" s="7">
        <f ca="1">DATEDIF(data[[#This Row],[Customer_Since]],data[[#This Row],[Timestamp]],"M")</f>
        <v>31</v>
      </c>
      <c r="S131">
        <f>COUNTIF($H$5:H131,H131)</f>
        <v>13</v>
      </c>
      <c r="T131">
        <f>COUNTIF($L$5:L131,L131)</f>
        <v>24</v>
      </c>
      <c r="U131">
        <f>COUNTIF($M$5:M131,M131)</f>
        <v>22</v>
      </c>
      <c r="V131" s="14">
        <f>EOMONTH(data[[#This Row],[Date]],0)</f>
        <v>45535</v>
      </c>
    </row>
    <row r="132" spans="2:22" ht="15.75" customHeight="1" x14ac:dyDescent="0.3">
      <c r="B132" s="4" t="s">
        <v>296</v>
      </c>
      <c r="C132" s="9">
        <v>45520</v>
      </c>
      <c r="D132" s="4" t="s">
        <v>124</v>
      </c>
      <c r="E132" s="4" t="str">
        <f>RIGHT(data[[#This Row],[Customer_ID]],3)</f>
        <v>018</v>
      </c>
      <c r="F132" s="4" t="s">
        <v>125</v>
      </c>
      <c r="G132" s="4" t="s">
        <v>108</v>
      </c>
      <c r="H132" s="4" t="s">
        <v>109</v>
      </c>
      <c r="I132" s="4" t="s">
        <v>47</v>
      </c>
      <c r="J132" s="4">
        <v>5</v>
      </c>
      <c r="K132" s="4">
        <v>699.99</v>
      </c>
      <c r="L132" s="4" t="s">
        <v>48</v>
      </c>
      <c r="M132" s="4" t="s">
        <v>91</v>
      </c>
      <c r="N132" s="4" t="s">
        <v>64</v>
      </c>
      <c r="O132" s="5">
        <v>45008</v>
      </c>
      <c r="P132" s="4">
        <v>3499.95</v>
      </c>
      <c r="Q132" s="8">
        <f t="shared" ca="1" si="1"/>
        <v>46173.713128356481</v>
      </c>
      <c r="R132" s="7">
        <f ca="1">DATEDIF(data[[#This Row],[Customer_Since]],data[[#This Row],[Timestamp]],"M")</f>
        <v>38</v>
      </c>
      <c r="S132">
        <f>COUNTIF($H$5:H132,H132)</f>
        <v>14</v>
      </c>
      <c r="T132">
        <f>COUNTIF($L$5:L132,L132)</f>
        <v>42</v>
      </c>
      <c r="U132">
        <f>COUNTIF($M$5:M132,M132)</f>
        <v>29</v>
      </c>
      <c r="V132" s="14">
        <f>EOMONTH(data[[#This Row],[Date]],0)</f>
        <v>45535</v>
      </c>
    </row>
    <row r="133" spans="2:22" ht="15.75" customHeight="1" x14ac:dyDescent="0.3">
      <c r="B133" s="4" t="s">
        <v>297</v>
      </c>
      <c r="C133" s="9">
        <v>45521</v>
      </c>
      <c r="D133" s="4" t="s">
        <v>199</v>
      </c>
      <c r="E133" s="4" t="str">
        <f>RIGHT(data[[#This Row],[Customer_ID]],3)</f>
        <v>049</v>
      </c>
      <c r="F133" s="4" t="s">
        <v>200</v>
      </c>
      <c r="G133" s="4" t="s">
        <v>108</v>
      </c>
      <c r="H133" s="4" t="s">
        <v>109</v>
      </c>
      <c r="I133" s="4" t="s">
        <v>47</v>
      </c>
      <c r="J133" s="4">
        <v>4</v>
      </c>
      <c r="K133" s="4">
        <v>699.99</v>
      </c>
      <c r="L133" s="4" t="s">
        <v>54</v>
      </c>
      <c r="M133" s="4" t="s">
        <v>49</v>
      </c>
      <c r="N133" s="4" t="s">
        <v>50</v>
      </c>
      <c r="O133" s="5">
        <v>45385</v>
      </c>
      <c r="P133" s="4">
        <v>2799.96</v>
      </c>
      <c r="Q133" s="8">
        <f t="shared" ref="Q133:Q196" ca="1" si="2">NOW()</f>
        <v>46173.713128356481</v>
      </c>
      <c r="R133" s="7">
        <f ca="1">DATEDIF(data[[#This Row],[Customer_Since]],data[[#This Row],[Timestamp]],"M")</f>
        <v>25</v>
      </c>
      <c r="S133">
        <f>COUNTIF($H$5:H133,H133)</f>
        <v>15</v>
      </c>
      <c r="T133">
        <f>COUNTIF($L$5:L133,L133)</f>
        <v>40</v>
      </c>
      <c r="U133">
        <f>COUNTIF($M$5:M133,M133)</f>
        <v>25</v>
      </c>
      <c r="V133" s="14">
        <f>EOMONTH(data[[#This Row],[Date]],0)</f>
        <v>45535</v>
      </c>
    </row>
    <row r="134" spans="2:22" ht="15.75" customHeight="1" x14ac:dyDescent="0.3">
      <c r="B134" s="4" t="s">
        <v>298</v>
      </c>
      <c r="C134" s="9">
        <v>45522</v>
      </c>
      <c r="D134" s="4" t="s">
        <v>178</v>
      </c>
      <c r="E134" s="4" t="str">
        <f>RIGHT(data[[#This Row],[Customer_ID]],3)</f>
        <v>040</v>
      </c>
      <c r="F134" s="4" t="s">
        <v>179</v>
      </c>
      <c r="G134" s="4" t="s">
        <v>89</v>
      </c>
      <c r="H134" s="4" t="s">
        <v>90</v>
      </c>
      <c r="I134" s="4" t="s">
        <v>47</v>
      </c>
      <c r="J134" s="4">
        <v>1</v>
      </c>
      <c r="K134" s="4">
        <v>899.99</v>
      </c>
      <c r="L134" s="4" t="s">
        <v>54</v>
      </c>
      <c r="M134" s="4" t="s">
        <v>91</v>
      </c>
      <c r="N134" s="4" t="s">
        <v>64</v>
      </c>
      <c r="O134" s="5">
        <v>45369</v>
      </c>
      <c r="P134" s="4">
        <v>899.99</v>
      </c>
      <c r="Q134" s="8">
        <f t="shared" ca="1" si="2"/>
        <v>46173.713128356481</v>
      </c>
      <c r="R134" s="7">
        <f ca="1">DATEDIF(data[[#This Row],[Customer_Since]],data[[#This Row],[Timestamp]],"M")</f>
        <v>26</v>
      </c>
      <c r="S134">
        <f>COUNTIF($H$5:H134,H134)</f>
        <v>14</v>
      </c>
      <c r="T134">
        <f>COUNTIF($L$5:L134,L134)</f>
        <v>41</v>
      </c>
      <c r="U134">
        <f>COUNTIF($M$5:M134,M134)</f>
        <v>30</v>
      </c>
      <c r="V134" s="14">
        <f>EOMONTH(data[[#This Row],[Date]],0)</f>
        <v>45535</v>
      </c>
    </row>
    <row r="135" spans="2:22" ht="15.75" customHeight="1" x14ac:dyDescent="0.3">
      <c r="B135" s="4" t="s">
        <v>299</v>
      </c>
      <c r="C135" s="9">
        <v>45523</v>
      </c>
      <c r="D135" s="4" t="s">
        <v>254</v>
      </c>
      <c r="E135" s="4" t="str">
        <f>RIGHT(data[[#This Row],[Customer_ID]],3)</f>
        <v>039</v>
      </c>
      <c r="F135" s="4" t="s">
        <v>255</v>
      </c>
      <c r="G135" s="4" t="s">
        <v>80</v>
      </c>
      <c r="H135" s="4" t="s">
        <v>81</v>
      </c>
      <c r="I135" s="4" t="s">
        <v>47</v>
      </c>
      <c r="J135" s="4">
        <v>2</v>
      </c>
      <c r="K135" s="4">
        <v>149.99</v>
      </c>
      <c r="L135" s="4" t="s">
        <v>54</v>
      </c>
      <c r="M135" s="4" t="s">
        <v>78</v>
      </c>
      <c r="N135" s="4" t="s">
        <v>50</v>
      </c>
      <c r="O135" s="5">
        <v>44916</v>
      </c>
      <c r="P135" s="4">
        <v>299.98</v>
      </c>
      <c r="Q135" s="8">
        <f t="shared" ca="1" si="2"/>
        <v>46173.713128356481</v>
      </c>
      <c r="R135" s="7">
        <f ca="1">DATEDIF(data[[#This Row],[Customer_Since]],data[[#This Row],[Timestamp]],"M")</f>
        <v>41</v>
      </c>
      <c r="S135">
        <f>COUNTIF($H$5:H135,H135)</f>
        <v>9</v>
      </c>
      <c r="T135">
        <f>COUNTIF($L$5:L135,L135)</f>
        <v>42</v>
      </c>
      <c r="U135">
        <f>COUNTIF($M$5:M135,M135)</f>
        <v>23</v>
      </c>
      <c r="V135" s="14">
        <f>EOMONTH(data[[#This Row],[Date]],0)</f>
        <v>45535</v>
      </c>
    </row>
    <row r="136" spans="2:22" ht="15.75" customHeight="1" x14ac:dyDescent="0.3">
      <c r="B136" s="4" t="s">
        <v>300</v>
      </c>
      <c r="C136" s="9">
        <v>45524</v>
      </c>
      <c r="D136" s="4" t="s">
        <v>254</v>
      </c>
      <c r="E136" s="4" t="str">
        <f>RIGHT(data[[#This Row],[Customer_ID]],3)</f>
        <v>039</v>
      </c>
      <c r="F136" s="4" t="s">
        <v>255</v>
      </c>
      <c r="G136" s="4" t="s">
        <v>145</v>
      </c>
      <c r="H136" s="4" t="s">
        <v>146</v>
      </c>
      <c r="I136" s="4" t="s">
        <v>47</v>
      </c>
      <c r="J136" s="4">
        <v>3</v>
      </c>
      <c r="K136" s="4">
        <v>89.99</v>
      </c>
      <c r="L136" s="4" t="s">
        <v>62</v>
      </c>
      <c r="M136" s="4" t="s">
        <v>49</v>
      </c>
      <c r="N136" s="4" t="s">
        <v>50</v>
      </c>
      <c r="O136" s="5">
        <v>44551</v>
      </c>
      <c r="P136" s="4">
        <v>269.97000000000003</v>
      </c>
      <c r="Q136" s="8">
        <f t="shared" ca="1" si="2"/>
        <v>46173.713128356481</v>
      </c>
      <c r="R136" s="7">
        <f ca="1">DATEDIF(data[[#This Row],[Customer_Since]],data[[#This Row],[Timestamp]],"M")</f>
        <v>53</v>
      </c>
      <c r="S136">
        <f>COUNTIF($H$5:H136,H136)</f>
        <v>19</v>
      </c>
      <c r="T136">
        <f>COUNTIF($L$5:L136,L136)</f>
        <v>25</v>
      </c>
      <c r="U136">
        <f>COUNTIF($M$5:M136,M136)</f>
        <v>26</v>
      </c>
      <c r="V136" s="14">
        <f>EOMONTH(data[[#This Row],[Date]],0)</f>
        <v>45535</v>
      </c>
    </row>
    <row r="137" spans="2:22" ht="15.75" customHeight="1" x14ac:dyDescent="0.3">
      <c r="B137" s="4" t="s">
        <v>301</v>
      </c>
      <c r="C137" s="9">
        <v>45525</v>
      </c>
      <c r="D137" s="4" t="s">
        <v>66</v>
      </c>
      <c r="E137" s="4" t="str">
        <f>RIGHT(data[[#This Row],[Customer_ID]],3)</f>
        <v>046</v>
      </c>
      <c r="F137" s="4" t="s">
        <v>67</v>
      </c>
      <c r="G137" s="4" t="s">
        <v>80</v>
      </c>
      <c r="H137" s="4" t="s">
        <v>81</v>
      </c>
      <c r="I137" s="4" t="s">
        <v>47</v>
      </c>
      <c r="J137" s="4">
        <v>2</v>
      </c>
      <c r="K137" s="4">
        <v>149.99</v>
      </c>
      <c r="L137" s="4" t="s">
        <v>62</v>
      </c>
      <c r="M137" s="4" t="s">
        <v>49</v>
      </c>
      <c r="N137" s="4" t="s">
        <v>50</v>
      </c>
      <c r="O137" s="5">
        <v>44473</v>
      </c>
      <c r="P137" s="4">
        <v>299.98</v>
      </c>
      <c r="Q137" s="8">
        <f t="shared" ca="1" si="2"/>
        <v>46173.713128356481</v>
      </c>
      <c r="R137" s="7">
        <f ca="1">DATEDIF(data[[#This Row],[Customer_Since]],data[[#This Row],[Timestamp]],"M")</f>
        <v>55</v>
      </c>
      <c r="S137">
        <f>COUNTIF($H$5:H137,H137)</f>
        <v>10</v>
      </c>
      <c r="T137">
        <f>COUNTIF($L$5:L137,L137)</f>
        <v>26</v>
      </c>
      <c r="U137">
        <f>COUNTIF($M$5:M137,M137)</f>
        <v>27</v>
      </c>
      <c r="V137" s="14">
        <f>EOMONTH(data[[#This Row],[Date]],0)</f>
        <v>45535</v>
      </c>
    </row>
    <row r="138" spans="2:22" ht="15.75" customHeight="1" x14ac:dyDescent="0.3">
      <c r="B138" s="4" t="s">
        <v>302</v>
      </c>
      <c r="C138" s="9">
        <v>45526</v>
      </c>
      <c r="D138" s="4" t="s">
        <v>182</v>
      </c>
      <c r="E138" s="4" t="str">
        <f>RIGHT(data[[#This Row],[Customer_ID]],3)</f>
        <v>004</v>
      </c>
      <c r="F138" s="4" t="s">
        <v>183</v>
      </c>
      <c r="G138" s="4" t="s">
        <v>108</v>
      </c>
      <c r="H138" s="4" t="s">
        <v>109</v>
      </c>
      <c r="I138" s="4" t="s">
        <v>47</v>
      </c>
      <c r="J138" s="4">
        <v>2</v>
      </c>
      <c r="K138" s="4">
        <v>699.99</v>
      </c>
      <c r="L138" s="4" t="s">
        <v>48</v>
      </c>
      <c r="M138" s="4" t="s">
        <v>49</v>
      </c>
      <c r="N138" s="4" t="s">
        <v>50</v>
      </c>
      <c r="O138" s="5">
        <v>44992</v>
      </c>
      <c r="P138" s="4">
        <v>1399.98</v>
      </c>
      <c r="Q138" s="8">
        <f t="shared" ca="1" si="2"/>
        <v>46173.713128356481</v>
      </c>
      <c r="R138" s="7">
        <f ca="1">DATEDIF(data[[#This Row],[Customer_Since]],data[[#This Row],[Timestamp]],"M")</f>
        <v>38</v>
      </c>
      <c r="S138">
        <f>COUNTIF($H$5:H138,H138)</f>
        <v>16</v>
      </c>
      <c r="T138">
        <f>COUNTIF($L$5:L138,L138)</f>
        <v>43</v>
      </c>
      <c r="U138">
        <f>COUNTIF($M$5:M138,M138)</f>
        <v>28</v>
      </c>
      <c r="V138" s="14">
        <f>EOMONTH(data[[#This Row],[Date]],0)</f>
        <v>45535</v>
      </c>
    </row>
    <row r="139" spans="2:22" ht="15.75" customHeight="1" x14ac:dyDescent="0.3">
      <c r="B139" s="4" t="s">
        <v>303</v>
      </c>
      <c r="C139" s="9">
        <v>45527</v>
      </c>
      <c r="D139" s="4" t="s">
        <v>186</v>
      </c>
      <c r="E139" s="4" t="str">
        <f>RIGHT(data[[#This Row],[Customer_ID]],3)</f>
        <v>028</v>
      </c>
      <c r="F139" s="4" t="s">
        <v>187</v>
      </c>
      <c r="G139" s="4" t="s">
        <v>108</v>
      </c>
      <c r="H139" s="4" t="s">
        <v>109</v>
      </c>
      <c r="I139" s="4" t="s">
        <v>47</v>
      </c>
      <c r="J139" s="4">
        <v>5</v>
      </c>
      <c r="K139" s="4">
        <v>699.99</v>
      </c>
      <c r="L139" s="4" t="s">
        <v>48</v>
      </c>
      <c r="M139" s="4" t="s">
        <v>68</v>
      </c>
      <c r="N139" s="4" t="s">
        <v>55</v>
      </c>
      <c r="O139" s="5">
        <v>44635</v>
      </c>
      <c r="P139" s="4">
        <v>3499.95</v>
      </c>
      <c r="Q139" s="8">
        <f t="shared" ca="1" si="2"/>
        <v>46173.713128356481</v>
      </c>
      <c r="R139" s="7">
        <f ca="1">DATEDIF(data[[#This Row],[Customer_Since]],data[[#This Row],[Timestamp]],"M")</f>
        <v>50</v>
      </c>
      <c r="S139">
        <f>COUNTIF($H$5:H139,H139)</f>
        <v>17</v>
      </c>
      <c r="T139">
        <f>COUNTIF($L$5:L139,L139)</f>
        <v>44</v>
      </c>
      <c r="U139">
        <f>COUNTIF($M$5:M139,M139)</f>
        <v>34</v>
      </c>
      <c r="V139" s="14">
        <f>EOMONTH(data[[#This Row],[Date]],0)</f>
        <v>45535</v>
      </c>
    </row>
    <row r="140" spans="2:22" ht="15.75" customHeight="1" x14ac:dyDescent="0.3">
      <c r="B140" s="4" t="s">
        <v>304</v>
      </c>
      <c r="C140" s="9">
        <v>45528</v>
      </c>
      <c r="D140" s="4" t="s">
        <v>199</v>
      </c>
      <c r="E140" s="4" t="str">
        <f>RIGHT(data[[#This Row],[Customer_ID]],3)</f>
        <v>049</v>
      </c>
      <c r="F140" s="4" t="s">
        <v>200</v>
      </c>
      <c r="G140" s="4" t="s">
        <v>145</v>
      </c>
      <c r="H140" s="4" t="s">
        <v>146</v>
      </c>
      <c r="I140" s="4" t="s">
        <v>47</v>
      </c>
      <c r="J140" s="4">
        <v>3</v>
      </c>
      <c r="K140" s="4">
        <v>89.99</v>
      </c>
      <c r="L140" s="4" t="s">
        <v>54</v>
      </c>
      <c r="M140" s="4" t="s">
        <v>68</v>
      </c>
      <c r="N140" s="4" t="s">
        <v>64</v>
      </c>
      <c r="O140" s="5">
        <v>44615</v>
      </c>
      <c r="P140" s="4">
        <v>269.97000000000003</v>
      </c>
      <c r="Q140" s="8">
        <f t="shared" ca="1" si="2"/>
        <v>46173.713128356481</v>
      </c>
      <c r="R140" s="7">
        <f ca="1">DATEDIF(data[[#This Row],[Customer_Since]],data[[#This Row],[Timestamp]],"M")</f>
        <v>51</v>
      </c>
      <c r="S140">
        <f>COUNTIF($H$5:H140,H140)</f>
        <v>20</v>
      </c>
      <c r="T140">
        <f>COUNTIF($L$5:L140,L140)</f>
        <v>43</v>
      </c>
      <c r="U140">
        <f>COUNTIF($M$5:M140,M140)</f>
        <v>35</v>
      </c>
      <c r="V140" s="14">
        <f>EOMONTH(data[[#This Row],[Date]],0)</f>
        <v>45535</v>
      </c>
    </row>
    <row r="141" spans="2:22" ht="15.75" customHeight="1" x14ac:dyDescent="0.3">
      <c r="B141" s="4" t="s">
        <v>305</v>
      </c>
      <c r="C141" s="9">
        <v>45529</v>
      </c>
      <c r="D141" s="4" t="s">
        <v>43</v>
      </c>
      <c r="E141" s="4" t="str">
        <f>RIGHT(data[[#This Row],[Customer_ID]],3)</f>
        <v>023</v>
      </c>
      <c r="F141" s="4" t="s">
        <v>44</v>
      </c>
      <c r="G141" s="4" t="s">
        <v>45</v>
      </c>
      <c r="H141" s="4" t="s">
        <v>46</v>
      </c>
      <c r="I141" s="4" t="s">
        <v>47</v>
      </c>
      <c r="J141" s="4">
        <v>5</v>
      </c>
      <c r="K141" s="4">
        <v>249.99</v>
      </c>
      <c r="L141" s="4" t="s">
        <v>54</v>
      </c>
      <c r="M141" s="4" t="s">
        <v>63</v>
      </c>
      <c r="N141" s="4" t="s">
        <v>64</v>
      </c>
      <c r="O141" s="5">
        <v>44881</v>
      </c>
      <c r="P141" s="4">
        <v>1249.95</v>
      </c>
      <c r="Q141" s="8">
        <f t="shared" ca="1" si="2"/>
        <v>46173.713128356481</v>
      </c>
      <c r="R141" s="7">
        <f ca="1">DATEDIF(data[[#This Row],[Customer_Since]],data[[#This Row],[Timestamp]],"M")</f>
        <v>42</v>
      </c>
      <c r="S141">
        <f>COUNTIF($H$5:H141,H141)</f>
        <v>15</v>
      </c>
      <c r="T141">
        <f>COUNTIF($L$5:L141,L141)</f>
        <v>44</v>
      </c>
      <c r="U141">
        <f>COUNTIF($M$5:M141,M141)</f>
        <v>21</v>
      </c>
      <c r="V141" s="14">
        <f>EOMONTH(data[[#This Row],[Date]],0)</f>
        <v>45535</v>
      </c>
    </row>
    <row r="142" spans="2:22" ht="15.75" customHeight="1" x14ac:dyDescent="0.3">
      <c r="B142" s="4" t="s">
        <v>306</v>
      </c>
      <c r="C142" s="9">
        <v>45530</v>
      </c>
      <c r="D142" s="4" t="s">
        <v>93</v>
      </c>
      <c r="E142" s="4" t="str">
        <f>RIGHT(data[[#This Row],[Customer_ID]],3)</f>
        <v>026</v>
      </c>
      <c r="F142" s="4" t="s">
        <v>94</v>
      </c>
      <c r="G142" s="4" t="s">
        <v>133</v>
      </c>
      <c r="H142" s="4" t="s">
        <v>134</v>
      </c>
      <c r="I142" s="4" t="s">
        <v>74</v>
      </c>
      <c r="J142" s="4">
        <v>3</v>
      </c>
      <c r="K142" s="4">
        <v>299.99</v>
      </c>
      <c r="L142" s="4" t="s">
        <v>54</v>
      </c>
      <c r="M142" s="4" t="s">
        <v>63</v>
      </c>
      <c r="N142" s="4" t="s">
        <v>64</v>
      </c>
      <c r="O142" s="5">
        <v>44502</v>
      </c>
      <c r="P142" s="4">
        <v>899.97</v>
      </c>
      <c r="Q142" s="8">
        <f t="shared" ca="1" si="2"/>
        <v>46173.713128356481</v>
      </c>
      <c r="R142" s="7">
        <f ca="1">DATEDIF(data[[#This Row],[Customer_Since]],data[[#This Row],[Timestamp]],"M")</f>
        <v>54</v>
      </c>
      <c r="S142">
        <f>COUNTIF($H$5:H142,H142)</f>
        <v>13</v>
      </c>
      <c r="T142">
        <f>COUNTIF($L$5:L142,L142)</f>
        <v>45</v>
      </c>
      <c r="U142">
        <f>COUNTIF($M$5:M142,M142)</f>
        <v>22</v>
      </c>
      <c r="V142" s="14">
        <f>EOMONTH(data[[#This Row],[Date]],0)</f>
        <v>45535</v>
      </c>
    </row>
    <row r="143" spans="2:22" ht="15.75" customHeight="1" x14ac:dyDescent="0.3">
      <c r="B143" s="4" t="s">
        <v>307</v>
      </c>
      <c r="C143" s="9">
        <v>45531</v>
      </c>
      <c r="D143" s="4" t="s">
        <v>127</v>
      </c>
      <c r="E143" s="4" t="str">
        <f>RIGHT(data[[#This Row],[Customer_ID]],3)</f>
        <v>012</v>
      </c>
      <c r="F143" s="4" t="s">
        <v>128</v>
      </c>
      <c r="G143" s="4" t="s">
        <v>145</v>
      </c>
      <c r="H143" s="4" t="s">
        <v>146</v>
      </c>
      <c r="I143" s="4" t="s">
        <v>47</v>
      </c>
      <c r="J143" s="4">
        <v>3</v>
      </c>
      <c r="K143" s="4">
        <v>89.99</v>
      </c>
      <c r="L143" s="4" t="s">
        <v>54</v>
      </c>
      <c r="M143" s="4" t="s">
        <v>68</v>
      </c>
      <c r="N143" s="4" t="s">
        <v>55</v>
      </c>
      <c r="O143" s="5">
        <v>44420</v>
      </c>
      <c r="P143" s="4">
        <v>269.97000000000003</v>
      </c>
      <c r="Q143" s="8">
        <f t="shared" ca="1" si="2"/>
        <v>46173.713128356481</v>
      </c>
      <c r="R143" s="7">
        <f ca="1">DATEDIF(data[[#This Row],[Customer_Since]],data[[#This Row],[Timestamp]],"M")</f>
        <v>57</v>
      </c>
      <c r="S143">
        <f>COUNTIF($H$5:H143,H143)</f>
        <v>21</v>
      </c>
      <c r="T143">
        <f>COUNTIF($L$5:L143,L143)</f>
        <v>46</v>
      </c>
      <c r="U143">
        <f>COUNTIF($M$5:M143,M143)</f>
        <v>36</v>
      </c>
      <c r="V143" s="14">
        <f>EOMONTH(data[[#This Row],[Date]],0)</f>
        <v>45535</v>
      </c>
    </row>
    <row r="144" spans="2:22" ht="15.75" customHeight="1" x14ac:dyDescent="0.3">
      <c r="B144" s="4" t="s">
        <v>308</v>
      </c>
      <c r="C144" s="9">
        <v>45532</v>
      </c>
      <c r="D144" s="4" t="s">
        <v>117</v>
      </c>
      <c r="E144" s="4" t="str">
        <f>RIGHT(data[[#This Row],[Customer_ID]],3)</f>
        <v>010</v>
      </c>
      <c r="F144" s="4" t="s">
        <v>118</v>
      </c>
      <c r="G144" s="4" t="s">
        <v>72</v>
      </c>
      <c r="H144" s="4" t="s">
        <v>73</v>
      </c>
      <c r="I144" s="4" t="s">
        <v>74</v>
      </c>
      <c r="J144" s="4">
        <v>2</v>
      </c>
      <c r="K144" s="4">
        <v>149.99</v>
      </c>
      <c r="L144" s="4" t="s">
        <v>54</v>
      </c>
      <c r="M144" s="4" t="s">
        <v>78</v>
      </c>
      <c r="N144" s="4" t="s">
        <v>55</v>
      </c>
      <c r="O144" s="5">
        <v>44848</v>
      </c>
      <c r="P144" s="4">
        <v>299.98</v>
      </c>
      <c r="Q144" s="8">
        <f t="shared" ca="1" si="2"/>
        <v>46173.713128356481</v>
      </c>
      <c r="R144" s="7">
        <f ca="1">DATEDIF(data[[#This Row],[Customer_Since]],data[[#This Row],[Timestamp]],"M")</f>
        <v>43</v>
      </c>
      <c r="S144">
        <f>COUNTIF($H$5:H144,H144)</f>
        <v>17</v>
      </c>
      <c r="T144">
        <f>COUNTIF($L$5:L144,L144)</f>
        <v>47</v>
      </c>
      <c r="U144">
        <f>COUNTIF($M$5:M144,M144)</f>
        <v>24</v>
      </c>
      <c r="V144" s="14">
        <f>EOMONTH(data[[#This Row],[Date]],0)</f>
        <v>45535</v>
      </c>
    </row>
    <row r="145" spans="2:22" ht="15.75" customHeight="1" x14ac:dyDescent="0.3">
      <c r="B145" s="4" t="s">
        <v>309</v>
      </c>
      <c r="C145" s="9">
        <v>45533</v>
      </c>
      <c r="D145" s="4" t="s">
        <v>213</v>
      </c>
      <c r="E145" s="4" t="str">
        <f>RIGHT(data[[#This Row],[Customer_ID]],3)</f>
        <v>020</v>
      </c>
      <c r="F145" s="4" t="s">
        <v>214</v>
      </c>
      <c r="G145" s="4" t="s">
        <v>45</v>
      </c>
      <c r="H145" s="4" t="s">
        <v>46</v>
      </c>
      <c r="I145" s="4" t="s">
        <v>47</v>
      </c>
      <c r="J145" s="4">
        <v>1</v>
      </c>
      <c r="K145" s="4">
        <v>249.99</v>
      </c>
      <c r="L145" s="4" t="s">
        <v>54</v>
      </c>
      <c r="M145" s="4" t="s">
        <v>68</v>
      </c>
      <c r="N145" s="4" t="s">
        <v>55</v>
      </c>
      <c r="O145" s="5">
        <v>44828</v>
      </c>
      <c r="P145" s="4">
        <v>249.99</v>
      </c>
      <c r="Q145" s="8">
        <f t="shared" ca="1" si="2"/>
        <v>46173.713128356481</v>
      </c>
      <c r="R145" s="7">
        <f ca="1">DATEDIF(data[[#This Row],[Customer_Since]],data[[#This Row],[Timestamp]],"M")</f>
        <v>44</v>
      </c>
      <c r="S145">
        <f>COUNTIF($H$5:H145,H145)</f>
        <v>16</v>
      </c>
      <c r="T145">
        <f>COUNTIF($L$5:L145,L145)</f>
        <v>48</v>
      </c>
      <c r="U145">
        <f>COUNTIF($M$5:M145,M145)</f>
        <v>37</v>
      </c>
      <c r="V145" s="14">
        <f>EOMONTH(data[[#This Row],[Date]],0)</f>
        <v>45535</v>
      </c>
    </row>
    <row r="146" spans="2:22" ht="15.75" customHeight="1" x14ac:dyDescent="0.3">
      <c r="B146" s="4" t="s">
        <v>310</v>
      </c>
      <c r="C146" s="9">
        <v>45534</v>
      </c>
      <c r="D146" s="4" t="s">
        <v>100</v>
      </c>
      <c r="E146" s="4" t="str">
        <f>RIGHT(data[[#This Row],[Customer_ID]],3)</f>
        <v>041</v>
      </c>
      <c r="F146" s="4" t="s">
        <v>101</v>
      </c>
      <c r="G146" s="4" t="s">
        <v>80</v>
      </c>
      <c r="H146" s="4" t="s">
        <v>81</v>
      </c>
      <c r="I146" s="4" t="s">
        <v>47</v>
      </c>
      <c r="J146" s="4">
        <v>3</v>
      </c>
      <c r="K146" s="4">
        <v>149.99</v>
      </c>
      <c r="L146" s="4" t="s">
        <v>48</v>
      </c>
      <c r="M146" s="4" t="s">
        <v>68</v>
      </c>
      <c r="N146" s="4" t="s">
        <v>50</v>
      </c>
      <c r="O146" s="5">
        <v>44769</v>
      </c>
      <c r="P146" s="4">
        <v>449.97</v>
      </c>
      <c r="Q146" s="8">
        <f t="shared" ca="1" si="2"/>
        <v>46173.713128356481</v>
      </c>
      <c r="R146" s="7">
        <f ca="1">DATEDIF(data[[#This Row],[Customer_Since]],data[[#This Row],[Timestamp]],"M")</f>
        <v>46</v>
      </c>
      <c r="S146">
        <f>COUNTIF($H$5:H146,H146)</f>
        <v>11</v>
      </c>
      <c r="T146">
        <f>COUNTIF($L$5:L146,L146)</f>
        <v>45</v>
      </c>
      <c r="U146">
        <f>COUNTIF($M$5:M146,M146)</f>
        <v>38</v>
      </c>
      <c r="V146" s="14">
        <f>EOMONTH(data[[#This Row],[Date]],0)</f>
        <v>45535</v>
      </c>
    </row>
    <row r="147" spans="2:22" ht="15.75" customHeight="1" x14ac:dyDescent="0.3">
      <c r="B147" s="4" t="s">
        <v>311</v>
      </c>
      <c r="C147" s="9">
        <v>45535</v>
      </c>
      <c r="D147" s="4" t="s">
        <v>43</v>
      </c>
      <c r="E147" s="4" t="str">
        <f>RIGHT(data[[#This Row],[Customer_ID]],3)</f>
        <v>023</v>
      </c>
      <c r="F147" s="4" t="s">
        <v>44</v>
      </c>
      <c r="G147" s="4" t="s">
        <v>59</v>
      </c>
      <c r="H147" s="4" t="s">
        <v>60</v>
      </c>
      <c r="I147" s="4" t="s">
        <v>61</v>
      </c>
      <c r="J147" s="4">
        <v>5</v>
      </c>
      <c r="K147" s="4">
        <v>59.99</v>
      </c>
      <c r="L147" s="4" t="s">
        <v>62</v>
      </c>
      <c r="M147" s="4" t="s">
        <v>78</v>
      </c>
      <c r="N147" s="4" t="s">
        <v>55</v>
      </c>
      <c r="O147" s="5">
        <v>44694</v>
      </c>
      <c r="P147" s="4">
        <v>299.95</v>
      </c>
      <c r="Q147" s="8">
        <f t="shared" ca="1" si="2"/>
        <v>46173.713128356481</v>
      </c>
      <c r="R147" s="7">
        <f ca="1">DATEDIF(data[[#This Row],[Customer_Since]],data[[#This Row],[Timestamp]],"M")</f>
        <v>48</v>
      </c>
      <c r="S147">
        <f>COUNTIF($H$5:H147,H147)</f>
        <v>18</v>
      </c>
      <c r="T147">
        <f>COUNTIF($L$5:L147,L147)</f>
        <v>27</v>
      </c>
      <c r="U147">
        <f>COUNTIF($M$5:M147,M147)</f>
        <v>25</v>
      </c>
      <c r="V147" s="14">
        <f>EOMONTH(data[[#This Row],[Date]],0)</f>
        <v>45535</v>
      </c>
    </row>
    <row r="148" spans="2:22" ht="15.75" customHeight="1" x14ac:dyDescent="0.3">
      <c r="B148" s="4" t="s">
        <v>312</v>
      </c>
      <c r="C148" s="9">
        <v>45536</v>
      </c>
      <c r="D148" s="4" t="s">
        <v>127</v>
      </c>
      <c r="E148" s="4" t="str">
        <f>RIGHT(data[[#This Row],[Customer_ID]],3)</f>
        <v>012</v>
      </c>
      <c r="F148" s="4" t="s">
        <v>128</v>
      </c>
      <c r="G148" s="4" t="s">
        <v>45</v>
      </c>
      <c r="H148" s="4" t="s">
        <v>46</v>
      </c>
      <c r="I148" s="4" t="s">
        <v>47</v>
      </c>
      <c r="J148" s="4">
        <v>4</v>
      </c>
      <c r="K148" s="4">
        <v>249.99</v>
      </c>
      <c r="L148" s="4" t="s">
        <v>54</v>
      </c>
      <c r="M148" s="4" t="s">
        <v>78</v>
      </c>
      <c r="N148" s="4" t="s">
        <v>64</v>
      </c>
      <c r="O148" s="5">
        <v>44659</v>
      </c>
      <c r="P148" s="4">
        <v>999.96</v>
      </c>
      <c r="Q148" s="8">
        <f t="shared" ca="1" si="2"/>
        <v>46173.713128356481</v>
      </c>
      <c r="R148" s="7">
        <f ca="1">DATEDIF(data[[#This Row],[Customer_Since]],data[[#This Row],[Timestamp]],"M")</f>
        <v>49</v>
      </c>
      <c r="S148">
        <f>COUNTIF($H$5:H148,H148)</f>
        <v>17</v>
      </c>
      <c r="T148">
        <f>COUNTIF($L$5:L148,L148)</f>
        <v>49</v>
      </c>
      <c r="U148">
        <f>COUNTIF($M$5:M148,M148)</f>
        <v>26</v>
      </c>
      <c r="V148" s="14">
        <f>EOMONTH(data[[#This Row],[Date]],0)</f>
        <v>45565</v>
      </c>
    </row>
    <row r="149" spans="2:22" ht="15.75" customHeight="1" x14ac:dyDescent="0.3">
      <c r="B149" s="4" t="s">
        <v>313</v>
      </c>
      <c r="C149" s="9">
        <v>45537</v>
      </c>
      <c r="D149" s="4" t="s">
        <v>182</v>
      </c>
      <c r="E149" s="4" t="str">
        <f>RIGHT(data[[#This Row],[Customer_ID]],3)</f>
        <v>004</v>
      </c>
      <c r="F149" s="4" t="s">
        <v>183</v>
      </c>
      <c r="G149" s="4" t="s">
        <v>72</v>
      </c>
      <c r="H149" s="4" t="s">
        <v>73</v>
      </c>
      <c r="I149" s="4" t="s">
        <v>74</v>
      </c>
      <c r="J149" s="4">
        <v>5</v>
      </c>
      <c r="K149" s="4">
        <v>149.99</v>
      </c>
      <c r="L149" s="4" t="s">
        <v>62</v>
      </c>
      <c r="M149" s="4" t="s">
        <v>49</v>
      </c>
      <c r="N149" s="4" t="s">
        <v>50</v>
      </c>
      <c r="O149" s="5">
        <v>44901</v>
      </c>
      <c r="P149" s="4">
        <v>749.95</v>
      </c>
      <c r="Q149" s="8">
        <f t="shared" ca="1" si="2"/>
        <v>46173.713128356481</v>
      </c>
      <c r="R149" s="7">
        <f ca="1">DATEDIF(data[[#This Row],[Customer_Since]],data[[#This Row],[Timestamp]],"M")</f>
        <v>41</v>
      </c>
      <c r="S149">
        <f>COUNTIF($H$5:H149,H149)</f>
        <v>18</v>
      </c>
      <c r="T149">
        <f>COUNTIF($L$5:L149,L149)</f>
        <v>28</v>
      </c>
      <c r="U149">
        <f>COUNTIF($M$5:M149,M149)</f>
        <v>29</v>
      </c>
      <c r="V149" s="14">
        <f>EOMONTH(data[[#This Row],[Date]],0)</f>
        <v>45565</v>
      </c>
    </row>
    <row r="150" spans="2:22" ht="15.75" customHeight="1" x14ac:dyDescent="0.3">
      <c r="B150" s="4" t="s">
        <v>314</v>
      </c>
      <c r="C150" s="9">
        <v>45538</v>
      </c>
      <c r="D150" s="4" t="s">
        <v>111</v>
      </c>
      <c r="E150" s="4" t="str">
        <f>RIGHT(data[[#This Row],[Customer_ID]],3)</f>
        <v>027</v>
      </c>
      <c r="F150" s="4" t="s">
        <v>112</v>
      </c>
      <c r="G150" s="4" t="s">
        <v>59</v>
      </c>
      <c r="H150" s="4" t="s">
        <v>60</v>
      </c>
      <c r="I150" s="4" t="s">
        <v>61</v>
      </c>
      <c r="J150" s="4">
        <v>3</v>
      </c>
      <c r="K150" s="4">
        <v>59.99</v>
      </c>
      <c r="L150" s="4" t="s">
        <v>85</v>
      </c>
      <c r="M150" s="4" t="s">
        <v>63</v>
      </c>
      <c r="N150" s="4" t="s">
        <v>64</v>
      </c>
      <c r="O150" s="5">
        <v>45260</v>
      </c>
      <c r="P150" s="4">
        <v>179.97</v>
      </c>
      <c r="Q150" s="8">
        <f t="shared" ca="1" si="2"/>
        <v>46173.713128356481</v>
      </c>
      <c r="R150" s="7">
        <f ca="1">DATEDIF(data[[#This Row],[Customer_Since]],data[[#This Row],[Timestamp]],"M")</f>
        <v>30</v>
      </c>
      <c r="S150">
        <f>COUNTIF($H$5:H150,H150)</f>
        <v>19</v>
      </c>
      <c r="T150">
        <f>COUNTIF($L$5:L150,L150)</f>
        <v>24</v>
      </c>
      <c r="U150">
        <f>COUNTIF($M$5:M150,M150)</f>
        <v>23</v>
      </c>
      <c r="V150" s="14">
        <f>EOMONTH(data[[#This Row],[Date]],0)</f>
        <v>45565</v>
      </c>
    </row>
    <row r="151" spans="2:22" ht="15.75" customHeight="1" x14ac:dyDescent="0.3">
      <c r="B151" s="4" t="s">
        <v>315</v>
      </c>
      <c r="C151" s="9">
        <v>45539</v>
      </c>
      <c r="D151" s="4" t="s">
        <v>262</v>
      </c>
      <c r="E151" s="4" t="str">
        <f>RIGHT(data[[#This Row],[Customer_ID]],3)</f>
        <v>032</v>
      </c>
      <c r="F151" s="4" t="s">
        <v>263</v>
      </c>
      <c r="G151" s="4" t="s">
        <v>72</v>
      </c>
      <c r="H151" s="4" t="s">
        <v>73</v>
      </c>
      <c r="I151" s="4" t="s">
        <v>74</v>
      </c>
      <c r="J151" s="4">
        <v>5</v>
      </c>
      <c r="K151" s="4">
        <v>149.99</v>
      </c>
      <c r="L151" s="4" t="s">
        <v>48</v>
      </c>
      <c r="M151" s="4" t="s">
        <v>68</v>
      </c>
      <c r="N151" s="4" t="s">
        <v>50</v>
      </c>
      <c r="O151" s="5">
        <v>44869</v>
      </c>
      <c r="P151" s="4">
        <v>749.95</v>
      </c>
      <c r="Q151" s="8">
        <f t="shared" ca="1" si="2"/>
        <v>46173.713128356481</v>
      </c>
      <c r="R151" s="7">
        <f ca="1">DATEDIF(data[[#This Row],[Customer_Since]],data[[#This Row],[Timestamp]],"M")</f>
        <v>42</v>
      </c>
      <c r="S151">
        <f>COUNTIF($H$5:H151,H151)</f>
        <v>19</v>
      </c>
      <c r="T151">
        <f>COUNTIF($L$5:L151,L151)</f>
        <v>46</v>
      </c>
      <c r="U151">
        <f>COUNTIF($M$5:M151,M151)</f>
        <v>39</v>
      </c>
      <c r="V151" s="14">
        <f>EOMONTH(data[[#This Row],[Date]],0)</f>
        <v>45565</v>
      </c>
    </row>
    <row r="152" spans="2:22" ht="15.75" customHeight="1" x14ac:dyDescent="0.3">
      <c r="B152" s="4" t="s">
        <v>316</v>
      </c>
      <c r="C152" s="9">
        <v>45540</v>
      </c>
      <c r="D152" s="4" t="s">
        <v>114</v>
      </c>
      <c r="E152" s="4" t="str">
        <f>RIGHT(data[[#This Row],[Customer_ID]],3)</f>
        <v>025</v>
      </c>
      <c r="F152" s="4" t="s">
        <v>115</v>
      </c>
      <c r="G152" s="4" t="s">
        <v>108</v>
      </c>
      <c r="H152" s="4" t="s">
        <v>109</v>
      </c>
      <c r="I152" s="4" t="s">
        <v>47</v>
      </c>
      <c r="J152" s="4">
        <v>2</v>
      </c>
      <c r="K152" s="4">
        <v>699.99</v>
      </c>
      <c r="L152" s="4" t="s">
        <v>62</v>
      </c>
      <c r="M152" s="4" t="s">
        <v>78</v>
      </c>
      <c r="N152" s="4" t="s">
        <v>64</v>
      </c>
      <c r="O152" s="5">
        <v>44770</v>
      </c>
      <c r="P152" s="4">
        <v>1399.98</v>
      </c>
      <c r="Q152" s="8">
        <f t="shared" ca="1" si="2"/>
        <v>46173.713128356481</v>
      </c>
      <c r="R152" s="7">
        <f ca="1">DATEDIF(data[[#This Row],[Customer_Since]],data[[#This Row],[Timestamp]],"M")</f>
        <v>46</v>
      </c>
      <c r="S152">
        <f>COUNTIF($H$5:H152,H152)</f>
        <v>18</v>
      </c>
      <c r="T152">
        <f>COUNTIF($L$5:L152,L152)</f>
        <v>29</v>
      </c>
      <c r="U152">
        <f>COUNTIF($M$5:M152,M152)</f>
        <v>27</v>
      </c>
      <c r="V152" s="14">
        <f>EOMONTH(data[[#This Row],[Date]],0)</f>
        <v>45565</v>
      </c>
    </row>
    <row r="153" spans="2:22" ht="15.75" customHeight="1" x14ac:dyDescent="0.3">
      <c r="B153" s="4" t="s">
        <v>317</v>
      </c>
      <c r="C153" s="9">
        <v>45541</v>
      </c>
      <c r="D153" s="4" t="s">
        <v>151</v>
      </c>
      <c r="E153" s="4" t="str">
        <f>RIGHT(data[[#This Row],[Customer_ID]],3)</f>
        <v>029</v>
      </c>
      <c r="F153" s="4" t="s">
        <v>152</v>
      </c>
      <c r="G153" s="4" t="s">
        <v>154</v>
      </c>
      <c r="H153" s="4" t="s">
        <v>155</v>
      </c>
      <c r="I153" s="4" t="s">
        <v>74</v>
      </c>
      <c r="J153" s="4">
        <v>4</v>
      </c>
      <c r="K153" s="4">
        <v>199.99</v>
      </c>
      <c r="L153" s="4" t="s">
        <v>85</v>
      </c>
      <c r="M153" s="4" t="s">
        <v>49</v>
      </c>
      <c r="N153" s="4" t="s">
        <v>55</v>
      </c>
      <c r="O153" s="5">
        <v>44427</v>
      </c>
      <c r="P153" s="4">
        <v>799.96</v>
      </c>
      <c r="Q153" s="8">
        <f t="shared" ca="1" si="2"/>
        <v>46173.713128356481</v>
      </c>
      <c r="R153" s="7">
        <f ca="1">DATEDIF(data[[#This Row],[Customer_Since]],data[[#This Row],[Timestamp]],"M")</f>
        <v>57</v>
      </c>
      <c r="S153">
        <f>COUNTIF($H$5:H153,H153)</f>
        <v>9</v>
      </c>
      <c r="T153">
        <f>COUNTIF($L$5:L153,L153)</f>
        <v>25</v>
      </c>
      <c r="U153">
        <f>COUNTIF($M$5:M153,M153)</f>
        <v>30</v>
      </c>
      <c r="V153" s="14">
        <f>EOMONTH(data[[#This Row],[Date]],0)</f>
        <v>45565</v>
      </c>
    </row>
    <row r="154" spans="2:22" ht="15.75" customHeight="1" x14ac:dyDescent="0.3">
      <c r="B154" s="4" t="s">
        <v>318</v>
      </c>
      <c r="C154" s="9">
        <v>45542</v>
      </c>
      <c r="D154" s="4" t="s">
        <v>220</v>
      </c>
      <c r="E154" s="4" t="str">
        <f>RIGHT(data[[#This Row],[Customer_ID]],3)</f>
        <v>033</v>
      </c>
      <c r="F154" s="4" t="s">
        <v>221</v>
      </c>
      <c r="G154" s="4" t="s">
        <v>59</v>
      </c>
      <c r="H154" s="4" t="s">
        <v>60</v>
      </c>
      <c r="I154" s="4" t="s">
        <v>61</v>
      </c>
      <c r="J154" s="4">
        <v>1</v>
      </c>
      <c r="K154" s="4">
        <v>59.99</v>
      </c>
      <c r="L154" s="4" t="s">
        <v>85</v>
      </c>
      <c r="M154" s="4" t="s">
        <v>78</v>
      </c>
      <c r="N154" s="4" t="s">
        <v>64</v>
      </c>
      <c r="O154" s="5">
        <v>44560</v>
      </c>
      <c r="P154" s="4">
        <v>59.99</v>
      </c>
      <c r="Q154" s="8">
        <f t="shared" ca="1" si="2"/>
        <v>46173.713128356481</v>
      </c>
      <c r="R154" s="7">
        <f ca="1">DATEDIF(data[[#This Row],[Customer_Since]],data[[#This Row],[Timestamp]],"M")</f>
        <v>53</v>
      </c>
      <c r="S154">
        <f>COUNTIF($H$5:H154,H154)</f>
        <v>20</v>
      </c>
      <c r="T154">
        <f>COUNTIF($L$5:L154,L154)</f>
        <v>26</v>
      </c>
      <c r="U154">
        <f>COUNTIF($M$5:M154,M154)</f>
        <v>28</v>
      </c>
      <c r="V154" s="14">
        <f>EOMONTH(data[[#This Row],[Date]],0)</f>
        <v>45565</v>
      </c>
    </row>
    <row r="155" spans="2:22" ht="15.75" customHeight="1" x14ac:dyDescent="0.3">
      <c r="B155" s="4" t="s">
        <v>319</v>
      </c>
      <c r="C155" s="9">
        <v>45543</v>
      </c>
      <c r="D155" s="4" t="s">
        <v>182</v>
      </c>
      <c r="E155" s="4" t="str">
        <f>RIGHT(data[[#This Row],[Customer_ID]],3)</f>
        <v>004</v>
      </c>
      <c r="F155" s="4" t="s">
        <v>183</v>
      </c>
      <c r="G155" s="4" t="s">
        <v>108</v>
      </c>
      <c r="H155" s="4" t="s">
        <v>109</v>
      </c>
      <c r="I155" s="4" t="s">
        <v>47</v>
      </c>
      <c r="J155" s="4">
        <v>3</v>
      </c>
      <c r="K155" s="4">
        <v>699.99</v>
      </c>
      <c r="L155" s="4" t="s">
        <v>62</v>
      </c>
      <c r="M155" s="4" t="s">
        <v>78</v>
      </c>
      <c r="N155" s="4" t="s">
        <v>64</v>
      </c>
      <c r="O155" s="5">
        <v>44583</v>
      </c>
      <c r="P155" s="4">
        <v>2099.9699999999998</v>
      </c>
      <c r="Q155" s="8">
        <f t="shared" ca="1" si="2"/>
        <v>46173.713128356481</v>
      </c>
      <c r="R155" s="7">
        <f ca="1">DATEDIF(data[[#This Row],[Customer_Since]],data[[#This Row],[Timestamp]],"M")</f>
        <v>52</v>
      </c>
      <c r="S155">
        <f>COUNTIF($H$5:H155,H155)</f>
        <v>19</v>
      </c>
      <c r="T155">
        <f>COUNTIF($L$5:L155,L155)</f>
        <v>30</v>
      </c>
      <c r="U155">
        <f>COUNTIF($M$5:M155,M155)</f>
        <v>29</v>
      </c>
      <c r="V155" s="14">
        <f>EOMONTH(data[[#This Row],[Date]],0)</f>
        <v>45565</v>
      </c>
    </row>
    <row r="156" spans="2:22" ht="15.75" customHeight="1" x14ac:dyDescent="0.3">
      <c r="B156" s="4" t="s">
        <v>320</v>
      </c>
      <c r="C156" s="9">
        <v>45544</v>
      </c>
      <c r="D156" s="4" t="s">
        <v>321</v>
      </c>
      <c r="E156" s="4" t="str">
        <f>RIGHT(data[[#This Row],[Customer_ID]],3)</f>
        <v>045</v>
      </c>
      <c r="F156" s="4" t="s">
        <v>322</v>
      </c>
      <c r="G156" s="4" t="s">
        <v>45</v>
      </c>
      <c r="H156" s="4" t="s">
        <v>46</v>
      </c>
      <c r="I156" s="4" t="s">
        <v>47</v>
      </c>
      <c r="J156" s="4">
        <v>5</v>
      </c>
      <c r="K156" s="4">
        <v>249.99</v>
      </c>
      <c r="L156" s="4" t="s">
        <v>54</v>
      </c>
      <c r="M156" s="4" t="s">
        <v>68</v>
      </c>
      <c r="N156" s="4" t="s">
        <v>50</v>
      </c>
      <c r="O156" s="5">
        <v>44873</v>
      </c>
      <c r="P156" s="4">
        <v>1249.95</v>
      </c>
      <c r="Q156" s="8">
        <f t="shared" ca="1" si="2"/>
        <v>46173.713128356481</v>
      </c>
      <c r="R156" s="7">
        <f ca="1">DATEDIF(data[[#This Row],[Customer_Since]],data[[#This Row],[Timestamp]],"M")</f>
        <v>42</v>
      </c>
      <c r="S156">
        <f>COUNTIF($H$5:H156,H156)</f>
        <v>18</v>
      </c>
      <c r="T156">
        <f>COUNTIF($L$5:L156,L156)</f>
        <v>50</v>
      </c>
      <c r="U156">
        <f>COUNTIF($M$5:M156,M156)</f>
        <v>40</v>
      </c>
      <c r="V156" s="14">
        <f>EOMONTH(data[[#This Row],[Date]],0)</f>
        <v>45565</v>
      </c>
    </row>
    <row r="157" spans="2:22" ht="15.75" customHeight="1" x14ac:dyDescent="0.3">
      <c r="B157" s="4" t="s">
        <v>323</v>
      </c>
      <c r="C157" s="9">
        <v>45545</v>
      </c>
      <c r="D157" s="4" t="s">
        <v>140</v>
      </c>
      <c r="E157" s="4" t="str">
        <f>RIGHT(data[[#This Row],[Customer_ID]],3)</f>
        <v>014</v>
      </c>
      <c r="F157" s="4" t="s">
        <v>141</v>
      </c>
      <c r="G157" s="4" t="s">
        <v>72</v>
      </c>
      <c r="H157" s="4" t="s">
        <v>73</v>
      </c>
      <c r="I157" s="4" t="s">
        <v>74</v>
      </c>
      <c r="J157" s="4">
        <v>2</v>
      </c>
      <c r="K157" s="4">
        <v>149.99</v>
      </c>
      <c r="L157" s="4" t="s">
        <v>48</v>
      </c>
      <c r="M157" s="4" t="s">
        <v>63</v>
      </c>
      <c r="N157" s="4" t="s">
        <v>64</v>
      </c>
      <c r="O157" s="5">
        <v>45101</v>
      </c>
      <c r="P157" s="4">
        <v>299.98</v>
      </c>
      <c r="Q157" s="8">
        <f t="shared" ca="1" si="2"/>
        <v>46173.713128356481</v>
      </c>
      <c r="R157" s="7">
        <f ca="1">DATEDIF(data[[#This Row],[Customer_Since]],data[[#This Row],[Timestamp]],"M")</f>
        <v>35</v>
      </c>
      <c r="S157">
        <f>COUNTIF($H$5:H157,H157)</f>
        <v>20</v>
      </c>
      <c r="T157">
        <f>COUNTIF($L$5:L157,L157)</f>
        <v>47</v>
      </c>
      <c r="U157">
        <f>COUNTIF($M$5:M157,M157)</f>
        <v>24</v>
      </c>
      <c r="V157" s="14">
        <f>EOMONTH(data[[#This Row],[Date]],0)</f>
        <v>45565</v>
      </c>
    </row>
    <row r="158" spans="2:22" ht="15.75" customHeight="1" x14ac:dyDescent="0.3">
      <c r="B158" s="4" t="s">
        <v>324</v>
      </c>
      <c r="C158" s="9">
        <v>45546</v>
      </c>
      <c r="D158" s="4" t="s">
        <v>57</v>
      </c>
      <c r="E158" s="4" t="str">
        <f>RIGHT(data[[#This Row],[Customer_ID]],3)</f>
        <v>021</v>
      </c>
      <c r="F158" s="4" t="s">
        <v>58</v>
      </c>
      <c r="G158" s="4" t="s">
        <v>133</v>
      </c>
      <c r="H158" s="4" t="s">
        <v>134</v>
      </c>
      <c r="I158" s="4" t="s">
        <v>74</v>
      </c>
      <c r="J158" s="4">
        <v>3</v>
      </c>
      <c r="K158" s="4">
        <v>299.99</v>
      </c>
      <c r="L158" s="4" t="s">
        <v>48</v>
      </c>
      <c r="M158" s="4" t="s">
        <v>63</v>
      </c>
      <c r="N158" s="4" t="s">
        <v>55</v>
      </c>
      <c r="O158" s="5">
        <v>44659</v>
      </c>
      <c r="P158" s="4">
        <v>899.97</v>
      </c>
      <c r="Q158" s="8">
        <f t="shared" ca="1" si="2"/>
        <v>46173.713128356481</v>
      </c>
      <c r="R158" s="7">
        <f ca="1">DATEDIF(data[[#This Row],[Customer_Since]],data[[#This Row],[Timestamp]],"M")</f>
        <v>49</v>
      </c>
      <c r="S158">
        <f>COUNTIF($H$5:H158,H158)</f>
        <v>14</v>
      </c>
      <c r="T158">
        <f>COUNTIF($L$5:L158,L158)</f>
        <v>48</v>
      </c>
      <c r="U158">
        <f>COUNTIF($M$5:M158,M158)</f>
        <v>25</v>
      </c>
      <c r="V158" s="14">
        <f>EOMONTH(data[[#This Row],[Date]],0)</f>
        <v>45565</v>
      </c>
    </row>
    <row r="159" spans="2:22" ht="15.75" customHeight="1" x14ac:dyDescent="0.3">
      <c r="B159" s="4" t="s">
        <v>325</v>
      </c>
      <c r="C159" s="9">
        <v>45547</v>
      </c>
      <c r="D159" s="4" t="s">
        <v>83</v>
      </c>
      <c r="E159" s="4" t="str">
        <f>RIGHT(data[[#This Row],[Customer_ID]],3)</f>
        <v>017</v>
      </c>
      <c r="F159" s="4" t="s">
        <v>84</v>
      </c>
      <c r="G159" s="4" t="s">
        <v>45</v>
      </c>
      <c r="H159" s="4" t="s">
        <v>46</v>
      </c>
      <c r="I159" s="4" t="s">
        <v>47</v>
      </c>
      <c r="J159" s="4">
        <v>5</v>
      </c>
      <c r="K159" s="4">
        <v>249.99</v>
      </c>
      <c r="L159" s="4" t="s">
        <v>48</v>
      </c>
      <c r="M159" s="4" t="s">
        <v>49</v>
      </c>
      <c r="N159" s="4" t="s">
        <v>55</v>
      </c>
      <c r="O159" s="5">
        <v>44485</v>
      </c>
      <c r="P159" s="4">
        <v>1249.95</v>
      </c>
      <c r="Q159" s="8">
        <f t="shared" ca="1" si="2"/>
        <v>46173.713128356481</v>
      </c>
      <c r="R159" s="7">
        <f ca="1">DATEDIF(data[[#This Row],[Customer_Since]],data[[#This Row],[Timestamp]],"M")</f>
        <v>55</v>
      </c>
      <c r="S159">
        <f>COUNTIF($H$5:H159,H159)</f>
        <v>19</v>
      </c>
      <c r="T159">
        <f>COUNTIF($L$5:L159,L159)</f>
        <v>49</v>
      </c>
      <c r="U159">
        <f>COUNTIF($M$5:M159,M159)</f>
        <v>31</v>
      </c>
      <c r="V159" s="14">
        <f>EOMONTH(data[[#This Row],[Date]],0)</f>
        <v>45565</v>
      </c>
    </row>
    <row r="160" spans="2:22" ht="15.75" customHeight="1" x14ac:dyDescent="0.3">
      <c r="B160" s="4" t="s">
        <v>326</v>
      </c>
      <c r="C160" s="9">
        <v>45548</v>
      </c>
      <c r="D160" s="4" t="s">
        <v>52</v>
      </c>
      <c r="E160" s="4" t="str">
        <f>RIGHT(data[[#This Row],[Customer_ID]],3)</f>
        <v>013</v>
      </c>
      <c r="F160" s="4" t="s">
        <v>53</v>
      </c>
      <c r="G160" s="4" t="s">
        <v>80</v>
      </c>
      <c r="H160" s="4" t="s">
        <v>81</v>
      </c>
      <c r="I160" s="4" t="s">
        <v>47</v>
      </c>
      <c r="J160" s="4">
        <v>2</v>
      </c>
      <c r="K160" s="4">
        <v>149.99</v>
      </c>
      <c r="L160" s="4" t="s">
        <v>48</v>
      </c>
      <c r="M160" s="4" t="s">
        <v>63</v>
      </c>
      <c r="N160" s="4" t="s">
        <v>55</v>
      </c>
      <c r="O160" s="5">
        <v>44475</v>
      </c>
      <c r="P160" s="4">
        <v>299.98</v>
      </c>
      <c r="Q160" s="8">
        <f t="shared" ca="1" si="2"/>
        <v>46173.713128356481</v>
      </c>
      <c r="R160" s="7">
        <f ca="1">DATEDIF(data[[#This Row],[Customer_Since]],data[[#This Row],[Timestamp]],"M")</f>
        <v>55</v>
      </c>
      <c r="S160">
        <f>COUNTIF($H$5:H160,H160)</f>
        <v>12</v>
      </c>
      <c r="T160">
        <f>COUNTIF($L$5:L160,L160)</f>
        <v>50</v>
      </c>
      <c r="U160">
        <f>COUNTIF($M$5:M160,M160)</f>
        <v>26</v>
      </c>
      <c r="V160" s="14">
        <f>EOMONTH(data[[#This Row],[Date]],0)</f>
        <v>45565</v>
      </c>
    </row>
    <row r="161" spans="2:22" ht="15.75" customHeight="1" x14ac:dyDescent="0.3">
      <c r="B161" s="4" t="s">
        <v>327</v>
      </c>
      <c r="C161" s="9">
        <v>45549</v>
      </c>
      <c r="D161" s="4" t="s">
        <v>114</v>
      </c>
      <c r="E161" s="4" t="str">
        <f>RIGHT(data[[#This Row],[Customer_ID]],3)</f>
        <v>025</v>
      </c>
      <c r="F161" s="4" t="s">
        <v>115</v>
      </c>
      <c r="G161" s="4" t="s">
        <v>108</v>
      </c>
      <c r="H161" s="4" t="s">
        <v>109</v>
      </c>
      <c r="I161" s="4" t="s">
        <v>47</v>
      </c>
      <c r="J161" s="4">
        <v>5</v>
      </c>
      <c r="K161" s="4">
        <v>699.99</v>
      </c>
      <c r="L161" s="4" t="s">
        <v>85</v>
      </c>
      <c r="M161" s="4" t="s">
        <v>78</v>
      </c>
      <c r="N161" s="4" t="s">
        <v>64</v>
      </c>
      <c r="O161" s="5">
        <v>44944</v>
      </c>
      <c r="P161" s="4">
        <v>3499.95</v>
      </c>
      <c r="Q161" s="8">
        <f t="shared" ca="1" si="2"/>
        <v>46173.713128356481</v>
      </c>
      <c r="R161" s="7">
        <f ca="1">DATEDIF(data[[#This Row],[Customer_Since]],data[[#This Row],[Timestamp]],"M")</f>
        <v>40</v>
      </c>
      <c r="S161">
        <f>COUNTIF($H$5:H161,H161)</f>
        <v>20</v>
      </c>
      <c r="T161">
        <f>COUNTIF($L$5:L161,L161)</f>
        <v>27</v>
      </c>
      <c r="U161">
        <f>COUNTIF($M$5:M161,M161)</f>
        <v>30</v>
      </c>
      <c r="V161" s="14">
        <f>EOMONTH(data[[#This Row],[Date]],0)</f>
        <v>45565</v>
      </c>
    </row>
    <row r="162" spans="2:22" ht="15.75" customHeight="1" x14ac:dyDescent="0.3">
      <c r="B162" s="4" t="s">
        <v>328</v>
      </c>
      <c r="C162" s="9">
        <v>45550</v>
      </c>
      <c r="D162" s="4" t="s">
        <v>280</v>
      </c>
      <c r="E162" s="4" t="str">
        <f>RIGHT(data[[#This Row],[Customer_ID]],3)</f>
        <v>011</v>
      </c>
      <c r="F162" s="4" t="s">
        <v>281</v>
      </c>
      <c r="G162" s="4" t="s">
        <v>45</v>
      </c>
      <c r="H162" s="4" t="s">
        <v>46</v>
      </c>
      <c r="I162" s="4" t="s">
        <v>47</v>
      </c>
      <c r="J162" s="4">
        <v>4</v>
      </c>
      <c r="K162" s="4">
        <v>249.99</v>
      </c>
      <c r="L162" s="4" t="s">
        <v>62</v>
      </c>
      <c r="M162" s="4" t="s">
        <v>91</v>
      </c>
      <c r="N162" s="4" t="s">
        <v>55</v>
      </c>
      <c r="O162" s="5">
        <v>45098</v>
      </c>
      <c r="P162" s="4">
        <v>999.96</v>
      </c>
      <c r="Q162" s="8">
        <f t="shared" ca="1" si="2"/>
        <v>46173.713128356481</v>
      </c>
      <c r="R162" s="7">
        <f ca="1">DATEDIF(data[[#This Row],[Customer_Since]],data[[#This Row],[Timestamp]],"M")</f>
        <v>35</v>
      </c>
      <c r="S162">
        <f>COUNTIF($H$5:H162,H162)</f>
        <v>20</v>
      </c>
      <c r="T162">
        <f>COUNTIF($L$5:L162,L162)</f>
        <v>31</v>
      </c>
      <c r="U162">
        <f>COUNTIF($M$5:M162,M162)</f>
        <v>31</v>
      </c>
      <c r="V162" s="14">
        <f>EOMONTH(data[[#This Row],[Date]],0)</f>
        <v>45565</v>
      </c>
    </row>
    <row r="163" spans="2:22" ht="15.75" customHeight="1" x14ac:dyDescent="0.3">
      <c r="B163" s="4" t="s">
        <v>329</v>
      </c>
      <c r="C163" s="9">
        <v>45551</v>
      </c>
      <c r="D163" s="4" t="s">
        <v>76</v>
      </c>
      <c r="E163" s="4" t="str">
        <f>RIGHT(data[[#This Row],[Customer_ID]],3)</f>
        <v>024</v>
      </c>
      <c r="F163" s="4" t="s">
        <v>77</v>
      </c>
      <c r="G163" s="4" t="s">
        <v>108</v>
      </c>
      <c r="H163" s="4" t="s">
        <v>109</v>
      </c>
      <c r="I163" s="4" t="s">
        <v>47</v>
      </c>
      <c r="J163" s="4">
        <v>4</v>
      </c>
      <c r="K163" s="4">
        <v>699.99</v>
      </c>
      <c r="L163" s="4" t="s">
        <v>54</v>
      </c>
      <c r="M163" s="4" t="s">
        <v>68</v>
      </c>
      <c r="N163" s="4" t="s">
        <v>55</v>
      </c>
      <c r="O163" s="5">
        <v>44703</v>
      </c>
      <c r="P163" s="4">
        <v>2799.96</v>
      </c>
      <c r="Q163" s="8">
        <f t="shared" ca="1" si="2"/>
        <v>46173.713128356481</v>
      </c>
      <c r="R163" s="7">
        <f ca="1">DATEDIF(data[[#This Row],[Customer_Since]],data[[#This Row],[Timestamp]],"M")</f>
        <v>48</v>
      </c>
      <c r="S163">
        <f>COUNTIF($H$5:H163,H163)</f>
        <v>21</v>
      </c>
      <c r="T163">
        <f>COUNTIF($L$5:L163,L163)</f>
        <v>51</v>
      </c>
      <c r="U163">
        <f>COUNTIF($M$5:M163,M163)</f>
        <v>41</v>
      </c>
      <c r="V163" s="14">
        <f>EOMONTH(data[[#This Row],[Date]],0)</f>
        <v>45565</v>
      </c>
    </row>
    <row r="164" spans="2:22" ht="15.75" customHeight="1" x14ac:dyDescent="0.3">
      <c r="B164" s="4" t="s">
        <v>330</v>
      </c>
      <c r="C164" s="9">
        <v>45552</v>
      </c>
      <c r="D164" s="4" t="s">
        <v>136</v>
      </c>
      <c r="E164" s="4" t="str">
        <f>RIGHT(data[[#This Row],[Customer_ID]],3)</f>
        <v>036</v>
      </c>
      <c r="F164" s="4" t="s">
        <v>137</v>
      </c>
      <c r="G164" s="4" t="s">
        <v>45</v>
      </c>
      <c r="H164" s="4" t="s">
        <v>46</v>
      </c>
      <c r="I164" s="4" t="s">
        <v>47</v>
      </c>
      <c r="J164" s="4">
        <v>2</v>
      </c>
      <c r="K164" s="4">
        <v>249.99</v>
      </c>
      <c r="L164" s="4" t="s">
        <v>54</v>
      </c>
      <c r="M164" s="4" t="s">
        <v>49</v>
      </c>
      <c r="N164" s="4" t="s">
        <v>55</v>
      </c>
      <c r="O164" s="5">
        <v>44396</v>
      </c>
      <c r="P164" s="4">
        <v>499.98</v>
      </c>
      <c r="Q164" s="8">
        <f t="shared" ca="1" si="2"/>
        <v>46173.713128356481</v>
      </c>
      <c r="R164" s="7">
        <f ca="1">DATEDIF(data[[#This Row],[Customer_Since]],data[[#This Row],[Timestamp]],"M")</f>
        <v>58</v>
      </c>
      <c r="S164">
        <f>COUNTIF($H$5:H164,H164)</f>
        <v>21</v>
      </c>
      <c r="T164">
        <f>COUNTIF($L$5:L164,L164)</f>
        <v>52</v>
      </c>
      <c r="U164">
        <f>COUNTIF($M$5:M164,M164)</f>
        <v>32</v>
      </c>
      <c r="V164" s="14">
        <f>EOMONTH(data[[#This Row],[Date]],0)</f>
        <v>45565</v>
      </c>
    </row>
    <row r="165" spans="2:22" ht="15.75" customHeight="1" x14ac:dyDescent="0.3">
      <c r="B165" s="4" t="s">
        <v>331</v>
      </c>
      <c r="C165" s="9">
        <v>45553</v>
      </c>
      <c r="D165" s="4" t="s">
        <v>332</v>
      </c>
      <c r="E165" s="4" t="str">
        <f>RIGHT(data[[#This Row],[Customer_ID]],3)</f>
        <v>005</v>
      </c>
      <c r="F165" s="4" t="s">
        <v>333</v>
      </c>
      <c r="G165" s="4" t="s">
        <v>59</v>
      </c>
      <c r="H165" s="4" t="s">
        <v>60</v>
      </c>
      <c r="I165" s="4" t="s">
        <v>61</v>
      </c>
      <c r="J165" s="4">
        <v>3</v>
      </c>
      <c r="K165" s="4">
        <v>59.99</v>
      </c>
      <c r="L165" s="4" t="s">
        <v>48</v>
      </c>
      <c r="M165" s="4" t="s">
        <v>49</v>
      </c>
      <c r="N165" s="4" t="s">
        <v>55</v>
      </c>
      <c r="O165" s="5">
        <v>45052</v>
      </c>
      <c r="P165" s="4">
        <v>179.97</v>
      </c>
      <c r="Q165" s="8">
        <f t="shared" ca="1" si="2"/>
        <v>46173.713128356481</v>
      </c>
      <c r="R165" s="7">
        <f ca="1">DATEDIF(data[[#This Row],[Customer_Since]],data[[#This Row],[Timestamp]],"M")</f>
        <v>36</v>
      </c>
      <c r="S165">
        <f>COUNTIF($H$5:H165,H165)</f>
        <v>21</v>
      </c>
      <c r="T165">
        <f>COUNTIF($L$5:L165,L165)</f>
        <v>51</v>
      </c>
      <c r="U165">
        <f>COUNTIF($M$5:M165,M165)</f>
        <v>33</v>
      </c>
      <c r="V165" s="14">
        <f>EOMONTH(data[[#This Row],[Date]],0)</f>
        <v>45565</v>
      </c>
    </row>
    <row r="166" spans="2:22" ht="15.75" customHeight="1" x14ac:dyDescent="0.3">
      <c r="B166" s="4" t="s">
        <v>334</v>
      </c>
      <c r="C166" s="9">
        <v>45554</v>
      </c>
      <c r="D166" s="4" t="s">
        <v>169</v>
      </c>
      <c r="E166" s="4" t="str">
        <f>RIGHT(data[[#This Row],[Customer_ID]],3)</f>
        <v>008</v>
      </c>
      <c r="F166" s="4" t="s">
        <v>170</v>
      </c>
      <c r="G166" s="4" t="s">
        <v>142</v>
      </c>
      <c r="H166" s="4" t="s">
        <v>143</v>
      </c>
      <c r="I166" s="4" t="s">
        <v>61</v>
      </c>
      <c r="J166" s="4">
        <v>4</v>
      </c>
      <c r="K166" s="4">
        <v>79.989999999999995</v>
      </c>
      <c r="L166" s="4" t="s">
        <v>85</v>
      </c>
      <c r="M166" s="4" t="s">
        <v>91</v>
      </c>
      <c r="N166" s="4" t="s">
        <v>64</v>
      </c>
      <c r="O166" s="5">
        <v>44921</v>
      </c>
      <c r="P166" s="4">
        <v>319.95999999999998</v>
      </c>
      <c r="Q166" s="8">
        <f t="shared" ca="1" si="2"/>
        <v>46173.713128356481</v>
      </c>
      <c r="R166" s="7">
        <f ca="1">DATEDIF(data[[#This Row],[Customer_Since]],data[[#This Row],[Timestamp]],"M")</f>
        <v>41</v>
      </c>
      <c r="S166">
        <f>COUNTIF($H$5:H166,H166)</f>
        <v>9</v>
      </c>
      <c r="T166">
        <f>COUNTIF($L$5:L166,L166)</f>
        <v>28</v>
      </c>
      <c r="U166">
        <f>COUNTIF($M$5:M166,M166)</f>
        <v>32</v>
      </c>
      <c r="V166" s="14">
        <f>EOMONTH(data[[#This Row],[Date]],0)</f>
        <v>45565</v>
      </c>
    </row>
    <row r="167" spans="2:22" ht="15.75" customHeight="1" x14ac:dyDescent="0.3">
      <c r="B167" s="4" t="s">
        <v>335</v>
      </c>
      <c r="C167" s="9">
        <v>45555</v>
      </c>
      <c r="D167" s="4" t="s">
        <v>148</v>
      </c>
      <c r="E167" s="4" t="str">
        <f>RIGHT(data[[#This Row],[Customer_ID]],3)</f>
        <v>030</v>
      </c>
      <c r="F167" s="4" t="s">
        <v>149</v>
      </c>
      <c r="G167" s="4" t="s">
        <v>142</v>
      </c>
      <c r="H167" s="4" t="s">
        <v>143</v>
      </c>
      <c r="I167" s="4" t="s">
        <v>61</v>
      </c>
      <c r="J167" s="4">
        <v>3</v>
      </c>
      <c r="K167" s="4">
        <v>79.989999999999995</v>
      </c>
      <c r="L167" s="4" t="s">
        <v>85</v>
      </c>
      <c r="M167" s="4" t="s">
        <v>91</v>
      </c>
      <c r="N167" s="4" t="s">
        <v>64</v>
      </c>
      <c r="O167" s="5">
        <v>44779</v>
      </c>
      <c r="P167" s="4">
        <v>239.97</v>
      </c>
      <c r="Q167" s="8">
        <f t="shared" ca="1" si="2"/>
        <v>46173.713128356481</v>
      </c>
      <c r="R167" s="7">
        <f ca="1">DATEDIF(data[[#This Row],[Customer_Since]],data[[#This Row],[Timestamp]],"M")</f>
        <v>45</v>
      </c>
      <c r="S167">
        <f>COUNTIF($H$5:H167,H167)</f>
        <v>10</v>
      </c>
      <c r="T167">
        <f>COUNTIF($L$5:L167,L167)</f>
        <v>29</v>
      </c>
      <c r="U167">
        <f>COUNTIF($M$5:M167,M167)</f>
        <v>33</v>
      </c>
      <c r="V167" s="14">
        <f>EOMONTH(data[[#This Row],[Date]],0)</f>
        <v>45565</v>
      </c>
    </row>
    <row r="168" spans="2:22" ht="15.75" customHeight="1" x14ac:dyDescent="0.3">
      <c r="B168" s="4" t="s">
        <v>336</v>
      </c>
      <c r="C168" s="9">
        <v>45556</v>
      </c>
      <c r="D168" s="4" t="s">
        <v>100</v>
      </c>
      <c r="E168" s="4" t="str">
        <f>RIGHT(data[[#This Row],[Customer_ID]],3)</f>
        <v>041</v>
      </c>
      <c r="F168" s="4" t="s">
        <v>101</v>
      </c>
      <c r="G168" s="4" t="s">
        <v>89</v>
      </c>
      <c r="H168" s="4" t="s">
        <v>90</v>
      </c>
      <c r="I168" s="4" t="s">
        <v>47</v>
      </c>
      <c r="J168" s="4">
        <v>2</v>
      </c>
      <c r="K168" s="4">
        <v>899.99</v>
      </c>
      <c r="L168" s="4" t="s">
        <v>48</v>
      </c>
      <c r="M168" s="4" t="s">
        <v>68</v>
      </c>
      <c r="N168" s="4" t="s">
        <v>50</v>
      </c>
      <c r="O168" s="5">
        <v>44406</v>
      </c>
      <c r="P168" s="4">
        <v>1799.98</v>
      </c>
      <c r="Q168" s="8">
        <f t="shared" ca="1" si="2"/>
        <v>46173.713128356481</v>
      </c>
      <c r="R168" s="7">
        <f ca="1">DATEDIF(data[[#This Row],[Customer_Since]],data[[#This Row],[Timestamp]],"M")</f>
        <v>58</v>
      </c>
      <c r="S168">
        <f>COUNTIF($H$5:H168,H168)</f>
        <v>15</v>
      </c>
      <c r="T168">
        <f>COUNTIF($L$5:L168,L168)</f>
        <v>52</v>
      </c>
      <c r="U168">
        <f>COUNTIF($M$5:M168,M168)</f>
        <v>42</v>
      </c>
      <c r="V168" s="14">
        <f>EOMONTH(data[[#This Row],[Date]],0)</f>
        <v>45565</v>
      </c>
    </row>
    <row r="169" spans="2:22" ht="15.75" customHeight="1" x14ac:dyDescent="0.3">
      <c r="B169" s="4" t="s">
        <v>337</v>
      </c>
      <c r="C169" s="9">
        <v>45557</v>
      </c>
      <c r="D169" s="4" t="s">
        <v>210</v>
      </c>
      <c r="E169" s="4" t="str">
        <f>RIGHT(data[[#This Row],[Customer_ID]],3)</f>
        <v>007</v>
      </c>
      <c r="F169" s="4" t="s">
        <v>211</v>
      </c>
      <c r="G169" s="4" t="s">
        <v>72</v>
      </c>
      <c r="H169" s="4" t="s">
        <v>73</v>
      </c>
      <c r="I169" s="4" t="s">
        <v>74</v>
      </c>
      <c r="J169" s="4">
        <v>1</v>
      </c>
      <c r="K169" s="4">
        <v>149.99</v>
      </c>
      <c r="L169" s="4" t="s">
        <v>85</v>
      </c>
      <c r="M169" s="4" t="s">
        <v>91</v>
      </c>
      <c r="N169" s="4" t="s">
        <v>64</v>
      </c>
      <c r="O169" s="5">
        <v>45200</v>
      </c>
      <c r="P169" s="4">
        <v>149.99</v>
      </c>
      <c r="Q169" s="8">
        <f t="shared" ca="1" si="2"/>
        <v>46173.713128356481</v>
      </c>
      <c r="R169" s="7">
        <f ca="1">DATEDIF(data[[#This Row],[Customer_Since]],data[[#This Row],[Timestamp]],"M")</f>
        <v>31</v>
      </c>
      <c r="S169">
        <f>COUNTIF($H$5:H169,H169)</f>
        <v>21</v>
      </c>
      <c r="T169">
        <f>COUNTIF($L$5:L169,L169)</f>
        <v>30</v>
      </c>
      <c r="U169">
        <f>COUNTIF($M$5:M169,M169)</f>
        <v>34</v>
      </c>
      <c r="V169" s="14">
        <f>EOMONTH(data[[#This Row],[Date]],0)</f>
        <v>45565</v>
      </c>
    </row>
    <row r="170" spans="2:22" ht="15.75" customHeight="1" x14ac:dyDescent="0.3">
      <c r="B170" s="4" t="s">
        <v>338</v>
      </c>
      <c r="C170" s="9">
        <v>45558</v>
      </c>
      <c r="D170" s="4" t="s">
        <v>166</v>
      </c>
      <c r="E170" s="4" t="str">
        <f>RIGHT(data[[#This Row],[Customer_ID]],3)</f>
        <v>031</v>
      </c>
      <c r="F170" s="4" t="s">
        <v>167</v>
      </c>
      <c r="G170" s="4" t="s">
        <v>133</v>
      </c>
      <c r="H170" s="4" t="s">
        <v>134</v>
      </c>
      <c r="I170" s="4" t="s">
        <v>74</v>
      </c>
      <c r="J170" s="4">
        <v>2</v>
      </c>
      <c r="K170" s="4">
        <v>299.99</v>
      </c>
      <c r="L170" s="4" t="s">
        <v>48</v>
      </c>
      <c r="M170" s="4" t="s">
        <v>91</v>
      </c>
      <c r="N170" s="4" t="s">
        <v>55</v>
      </c>
      <c r="O170" s="5">
        <v>44724</v>
      </c>
      <c r="P170" s="4">
        <v>599.98</v>
      </c>
      <c r="Q170" s="8">
        <f t="shared" ca="1" si="2"/>
        <v>46173.713128356481</v>
      </c>
      <c r="R170" s="7">
        <f ca="1">DATEDIF(data[[#This Row],[Customer_Since]],data[[#This Row],[Timestamp]],"M")</f>
        <v>47</v>
      </c>
      <c r="S170">
        <f>COUNTIF($H$5:H170,H170)</f>
        <v>15</v>
      </c>
      <c r="T170">
        <f>COUNTIF($L$5:L170,L170)</f>
        <v>53</v>
      </c>
      <c r="U170">
        <f>COUNTIF($M$5:M170,M170)</f>
        <v>35</v>
      </c>
      <c r="V170" s="14">
        <f>EOMONTH(data[[#This Row],[Date]],0)</f>
        <v>45565</v>
      </c>
    </row>
    <row r="171" spans="2:22" ht="15.75" customHeight="1" x14ac:dyDescent="0.3">
      <c r="B171" s="4" t="s">
        <v>339</v>
      </c>
      <c r="C171" s="9">
        <v>45559</v>
      </c>
      <c r="D171" s="4" t="s">
        <v>160</v>
      </c>
      <c r="E171" s="4" t="str">
        <f>RIGHT(data[[#This Row],[Customer_ID]],3)</f>
        <v>002</v>
      </c>
      <c r="F171" s="4" t="s">
        <v>161</v>
      </c>
      <c r="G171" s="4" t="s">
        <v>59</v>
      </c>
      <c r="H171" s="4" t="s">
        <v>60</v>
      </c>
      <c r="I171" s="4" t="s">
        <v>61</v>
      </c>
      <c r="J171" s="4">
        <v>2</v>
      </c>
      <c r="K171" s="4">
        <v>59.99</v>
      </c>
      <c r="L171" s="4" t="s">
        <v>48</v>
      </c>
      <c r="M171" s="4" t="s">
        <v>78</v>
      </c>
      <c r="N171" s="4" t="s">
        <v>50</v>
      </c>
      <c r="O171" s="5">
        <v>45191</v>
      </c>
      <c r="P171" s="4">
        <v>119.98</v>
      </c>
      <c r="Q171" s="8">
        <f t="shared" ca="1" si="2"/>
        <v>46173.713128356481</v>
      </c>
      <c r="R171" s="7">
        <f ca="1">DATEDIF(data[[#This Row],[Customer_Since]],data[[#This Row],[Timestamp]],"M")</f>
        <v>32</v>
      </c>
      <c r="S171">
        <f>COUNTIF($H$5:H171,H171)</f>
        <v>22</v>
      </c>
      <c r="T171">
        <f>COUNTIF($L$5:L171,L171)</f>
        <v>54</v>
      </c>
      <c r="U171">
        <f>COUNTIF($M$5:M171,M171)</f>
        <v>31</v>
      </c>
      <c r="V171" s="14">
        <f>EOMONTH(data[[#This Row],[Date]],0)</f>
        <v>45565</v>
      </c>
    </row>
    <row r="172" spans="2:22" ht="15.75" customHeight="1" x14ac:dyDescent="0.3">
      <c r="B172" s="4" t="s">
        <v>340</v>
      </c>
      <c r="C172" s="9">
        <v>45560</v>
      </c>
      <c r="D172" s="4" t="s">
        <v>210</v>
      </c>
      <c r="E172" s="4" t="str">
        <f>RIGHT(data[[#This Row],[Customer_ID]],3)</f>
        <v>007</v>
      </c>
      <c r="F172" s="4" t="s">
        <v>211</v>
      </c>
      <c r="G172" s="4" t="s">
        <v>145</v>
      </c>
      <c r="H172" s="4" t="s">
        <v>146</v>
      </c>
      <c r="I172" s="4" t="s">
        <v>47</v>
      </c>
      <c r="J172" s="4">
        <v>1</v>
      </c>
      <c r="K172" s="4">
        <v>89.99</v>
      </c>
      <c r="L172" s="4" t="s">
        <v>85</v>
      </c>
      <c r="M172" s="4" t="s">
        <v>49</v>
      </c>
      <c r="N172" s="4" t="s">
        <v>64</v>
      </c>
      <c r="O172" s="5">
        <v>44760</v>
      </c>
      <c r="P172" s="4">
        <v>89.99</v>
      </c>
      <c r="Q172" s="8">
        <f t="shared" ca="1" si="2"/>
        <v>46173.713128356481</v>
      </c>
      <c r="R172" s="7">
        <f ca="1">DATEDIF(data[[#This Row],[Customer_Since]],data[[#This Row],[Timestamp]],"M")</f>
        <v>46</v>
      </c>
      <c r="S172">
        <f>COUNTIF($H$5:H172,H172)</f>
        <v>22</v>
      </c>
      <c r="T172">
        <f>COUNTIF($L$5:L172,L172)</f>
        <v>31</v>
      </c>
      <c r="U172">
        <f>COUNTIF($M$5:M172,M172)</f>
        <v>34</v>
      </c>
      <c r="V172" s="14">
        <f>EOMONTH(data[[#This Row],[Date]],0)</f>
        <v>45565</v>
      </c>
    </row>
    <row r="173" spans="2:22" ht="15.75" customHeight="1" x14ac:dyDescent="0.3">
      <c r="B173" s="4" t="s">
        <v>341</v>
      </c>
      <c r="C173" s="9">
        <v>45561</v>
      </c>
      <c r="D173" s="4" t="s">
        <v>175</v>
      </c>
      <c r="E173" s="4" t="str">
        <f>RIGHT(data[[#This Row],[Customer_ID]],3)</f>
        <v>019</v>
      </c>
      <c r="F173" s="4" t="s">
        <v>176</v>
      </c>
      <c r="G173" s="4" t="s">
        <v>89</v>
      </c>
      <c r="H173" s="4" t="s">
        <v>90</v>
      </c>
      <c r="I173" s="4" t="s">
        <v>47</v>
      </c>
      <c r="J173" s="4">
        <v>5</v>
      </c>
      <c r="K173" s="4">
        <v>899.99</v>
      </c>
      <c r="L173" s="4" t="s">
        <v>85</v>
      </c>
      <c r="M173" s="4" t="s">
        <v>91</v>
      </c>
      <c r="N173" s="4" t="s">
        <v>64</v>
      </c>
      <c r="O173" s="5">
        <v>44625</v>
      </c>
      <c r="P173" s="4">
        <v>4499.95</v>
      </c>
      <c r="Q173" s="8">
        <f t="shared" ca="1" si="2"/>
        <v>46173.713128356481</v>
      </c>
      <c r="R173" s="7">
        <f ca="1">DATEDIF(data[[#This Row],[Customer_Since]],data[[#This Row],[Timestamp]],"M")</f>
        <v>50</v>
      </c>
      <c r="S173">
        <f>COUNTIF($H$5:H173,H173)</f>
        <v>16</v>
      </c>
      <c r="T173">
        <f>COUNTIF($L$5:L173,L173)</f>
        <v>32</v>
      </c>
      <c r="U173">
        <f>COUNTIF($M$5:M173,M173)</f>
        <v>36</v>
      </c>
      <c r="V173" s="14">
        <f>EOMONTH(data[[#This Row],[Date]],0)</f>
        <v>45565</v>
      </c>
    </row>
    <row r="174" spans="2:22" ht="15.75" customHeight="1" x14ac:dyDescent="0.3">
      <c r="B174" s="4" t="s">
        <v>342</v>
      </c>
      <c r="C174" s="9">
        <v>45562</v>
      </c>
      <c r="D174" s="4" t="s">
        <v>70</v>
      </c>
      <c r="E174" s="4" t="str">
        <f>RIGHT(data[[#This Row],[Customer_ID]],3)</f>
        <v>003</v>
      </c>
      <c r="F174" s="4" t="s">
        <v>71</v>
      </c>
      <c r="G174" s="4" t="s">
        <v>72</v>
      </c>
      <c r="H174" s="4" t="s">
        <v>73</v>
      </c>
      <c r="I174" s="4" t="s">
        <v>74</v>
      </c>
      <c r="J174" s="4">
        <v>2</v>
      </c>
      <c r="K174" s="4">
        <v>149.99</v>
      </c>
      <c r="L174" s="4" t="s">
        <v>48</v>
      </c>
      <c r="M174" s="4" t="s">
        <v>63</v>
      </c>
      <c r="N174" s="4" t="s">
        <v>50</v>
      </c>
      <c r="O174" s="5">
        <v>45239</v>
      </c>
      <c r="P174" s="4">
        <v>299.98</v>
      </c>
      <c r="Q174" s="8">
        <f t="shared" ca="1" si="2"/>
        <v>46173.713128356481</v>
      </c>
      <c r="R174" s="7">
        <f ca="1">DATEDIF(data[[#This Row],[Customer_Since]],data[[#This Row],[Timestamp]],"M")</f>
        <v>30</v>
      </c>
      <c r="S174">
        <f>COUNTIF($H$5:H174,H174)</f>
        <v>22</v>
      </c>
      <c r="T174">
        <f>COUNTIF($L$5:L174,L174)</f>
        <v>55</v>
      </c>
      <c r="U174">
        <f>COUNTIF($M$5:M174,M174)</f>
        <v>27</v>
      </c>
      <c r="V174" s="14">
        <f>EOMONTH(data[[#This Row],[Date]],0)</f>
        <v>45565</v>
      </c>
    </row>
    <row r="175" spans="2:22" ht="15.75" customHeight="1" x14ac:dyDescent="0.3">
      <c r="B175" s="4" t="s">
        <v>343</v>
      </c>
      <c r="C175" s="9">
        <v>45563</v>
      </c>
      <c r="D175" s="4" t="s">
        <v>140</v>
      </c>
      <c r="E175" s="4" t="str">
        <f>RIGHT(data[[#This Row],[Customer_ID]],3)</f>
        <v>014</v>
      </c>
      <c r="F175" s="4" t="s">
        <v>141</v>
      </c>
      <c r="G175" s="4" t="s">
        <v>80</v>
      </c>
      <c r="H175" s="4" t="s">
        <v>81</v>
      </c>
      <c r="I175" s="4" t="s">
        <v>47</v>
      </c>
      <c r="J175" s="4">
        <v>2</v>
      </c>
      <c r="K175" s="4">
        <v>149.99</v>
      </c>
      <c r="L175" s="4" t="s">
        <v>85</v>
      </c>
      <c r="M175" s="4" t="s">
        <v>78</v>
      </c>
      <c r="N175" s="4" t="s">
        <v>55</v>
      </c>
      <c r="O175" s="5">
        <v>45280</v>
      </c>
      <c r="P175" s="4">
        <v>299.98</v>
      </c>
      <c r="Q175" s="8">
        <f t="shared" ca="1" si="2"/>
        <v>46173.713128356481</v>
      </c>
      <c r="R175" s="7">
        <f ca="1">DATEDIF(data[[#This Row],[Customer_Since]],data[[#This Row],[Timestamp]],"M")</f>
        <v>29</v>
      </c>
      <c r="S175">
        <f>COUNTIF($H$5:H175,H175)</f>
        <v>13</v>
      </c>
      <c r="T175">
        <f>COUNTIF($L$5:L175,L175)</f>
        <v>33</v>
      </c>
      <c r="U175">
        <f>COUNTIF($M$5:M175,M175)</f>
        <v>32</v>
      </c>
      <c r="V175" s="14">
        <f>EOMONTH(data[[#This Row],[Date]],0)</f>
        <v>45565</v>
      </c>
    </row>
    <row r="176" spans="2:22" ht="15.75" customHeight="1" x14ac:dyDescent="0.3">
      <c r="B176" s="4" t="s">
        <v>344</v>
      </c>
      <c r="C176" s="9">
        <v>45564</v>
      </c>
      <c r="D176" s="4" t="s">
        <v>210</v>
      </c>
      <c r="E176" s="4" t="str">
        <f>RIGHT(data[[#This Row],[Customer_ID]],3)</f>
        <v>007</v>
      </c>
      <c r="F176" s="4" t="s">
        <v>211</v>
      </c>
      <c r="G176" s="4" t="s">
        <v>72</v>
      </c>
      <c r="H176" s="4" t="s">
        <v>73</v>
      </c>
      <c r="I176" s="4" t="s">
        <v>74</v>
      </c>
      <c r="J176" s="4">
        <v>3</v>
      </c>
      <c r="K176" s="4">
        <v>149.99</v>
      </c>
      <c r="L176" s="4" t="s">
        <v>85</v>
      </c>
      <c r="M176" s="4" t="s">
        <v>68</v>
      </c>
      <c r="N176" s="4" t="s">
        <v>64</v>
      </c>
      <c r="O176" s="5">
        <v>44522</v>
      </c>
      <c r="P176" s="4">
        <v>449.97</v>
      </c>
      <c r="Q176" s="8">
        <f t="shared" ca="1" si="2"/>
        <v>46173.713128356481</v>
      </c>
      <c r="R176" s="7">
        <f ca="1">DATEDIF(data[[#This Row],[Customer_Since]],data[[#This Row],[Timestamp]],"M")</f>
        <v>54</v>
      </c>
      <c r="S176">
        <f>COUNTIF($H$5:H176,H176)</f>
        <v>23</v>
      </c>
      <c r="T176">
        <f>COUNTIF($L$5:L176,L176)</f>
        <v>34</v>
      </c>
      <c r="U176">
        <f>COUNTIF($M$5:M176,M176)</f>
        <v>43</v>
      </c>
      <c r="V176" s="14">
        <f>EOMONTH(data[[#This Row],[Date]],0)</f>
        <v>45565</v>
      </c>
    </row>
    <row r="177" spans="2:22" ht="15.75" customHeight="1" x14ac:dyDescent="0.3">
      <c r="B177" s="4" t="s">
        <v>345</v>
      </c>
      <c r="C177" s="9">
        <v>45565</v>
      </c>
      <c r="D177" s="4" t="s">
        <v>57</v>
      </c>
      <c r="E177" s="4" t="str">
        <f>RIGHT(data[[#This Row],[Customer_ID]],3)</f>
        <v>021</v>
      </c>
      <c r="F177" s="4" t="s">
        <v>58</v>
      </c>
      <c r="G177" s="4" t="s">
        <v>133</v>
      </c>
      <c r="H177" s="4" t="s">
        <v>134</v>
      </c>
      <c r="I177" s="4" t="s">
        <v>74</v>
      </c>
      <c r="J177" s="4">
        <v>2</v>
      </c>
      <c r="K177" s="4">
        <v>299.99</v>
      </c>
      <c r="L177" s="4" t="s">
        <v>62</v>
      </c>
      <c r="M177" s="4" t="s">
        <v>63</v>
      </c>
      <c r="N177" s="4" t="s">
        <v>50</v>
      </c>
      <c r="O177" s="5">
        <v>44721</v>
      </c>
      <c r="P177" s="4">
        <v>599.98</v>
      </c>
      <c r="Q177" s="8">
        <f t="shared" ca="1" si="2"/>
        <v>46173.713128356481</v>
      </c>
      <c r="R177" s="7">
        <f ca="1">DATEDIF(data[[#This Row],[Customer_Since]],data[[#This Row],[Timestamp]],"M")</f>
        <v>47</v>
      </c>
      <c r="S177">
        <f>COUNTIF($H$5:H177,H177)</f>
        <v>16</v>
      </c>
      <c r="T177">
        <f>COUNTIF($L$5:L177,L177)</f>
        <v>32</v>
      </c>
      <c r="U177">
        <f>COUNTIF($M$5:M177,M177)</f>
        <v>28</v>
      </c>
      <c r="V177" s="14">
        <f>EOMONTH(data[[#This Row],[Date]],0)</f>
        <v>45565</v>
      </c>
    </row>
    <row r="178" spans="2:22" ht="15.75" customHeight="1" x14ac:dyDescent="0.3">
      <c r="B178" s="4" t="s">
        <v>346</v>
      </c>
      <c r="C178" s="9">
        <v>45566</v>
      </c>
      <c r="D178" s="4" t="s">
        <v>70</v>
      </c>
      <c r="E178" s="4" t="str">
        <f>RIGHT(data[[#This Row],[Customer_ID]],3)</f>
        <v>003</v>
      </c>
      <c r="F178" s="4" t="s">
        <v>71</v>
      </c>
      <c r="G178" s="4" t="s">
        <v>133</v>
      </c>
      <c r="H178" s="4" t="s">
        <v>134</v>
      </c>
      <c r="I178" s="4" t="s">
        <v>74</v>
      </c>
      <c r="J178" s="4">
        <v>2</v>
      </c>
      <c r="K178" s="4">
        <v>299.99</v>
      </c>
      <c r="L178" s="4" t="s">
        <v>48</v>
      </c>
      <c r="M178" s="4" t="s">
        <v>78</v>
      </c>
      <c r="N178" s="4" t="s">
        <v>50</v>
      </c>
      <c r="O178" s="5">
        <v>44771</v>
      </c>
      <c r="P178" s="4">
        <v>599.98</v>
      </c>
      <c r="Q178" s="8">
        <f t="shared" ca="1" si="2"/>
        <v>46173.713128356481</v>
      </c>
      <c r="R178" s="7">
        <f ca="1">DATEDIF(data[[#This Row],[Customer_Since]],data[[#This Row],[Timestamp]],"M")</f>
        <v>46</v>
      </c>
      <c r="S178">
        <f>COUNTIF($H$5:H178,H178)</f>
        <v>17</v>
      </c>
      <c r="T178">
        <f>COUNTIF($L$5:L178,L178)</f>
        <v>56</v>
      </c>
      <c r="U178">
        <f>COUNTIF($M$5:M178,M178)</f>
        <v>33</v>
      </c>
      <c r="V178" s="14">
        <f>EOMONTH(data[[#This Row],[Date]],0)</f>
        <v>45596</v>
      </c>
    </row>
    <row r="179" spans="2:22" ht="15.75" customHeight="1" x14ac:dyDescent="0.3">
      <c r="B179" s="4" t="s">
        <v>347</v>
      </c>
      <c r="C179" s="9">
        <v>45567</v>
      </c>
      <c r="D179" s="4" t="s">
        <v>148</v>
      </c>
      <c r="E179" s="4" t="str">
        <f>RIGHT(data[[#This Row],[Customer_ID]],3)</f>
        <v>030</v>
      </c>
      <c r="F179" s="4" t="s">
        <v>149</v>
      </c>
      <c r="G179" s="4" t="s">
        <v>154</v>
      </c>
      <c r="H179" s="4" t="s">
        <v>155</v>
      </c>
      <c r="I179" s="4" t="s">
        <v>74</v>
      </c>
      <c r="J179" s="4">
        <v>4</v>
      </c>
      <c r="K179" s="4">
        <v>199.99</v>
      </c>
      <c r="L179" s="4" t="s">
        <v>54</v>
      </c>
      <c r="M179" s="4" t="s">
        <v>49</v>
      </c>
      <c r="N179" s="4" t="s">
        <v>50</v>
      </c>
      <c r="O179" s="5">
        <v>44523</v>
      </c>
      <c r="P179" s="4">
        <v>799.96</v>
      </c>
      <c r="Q179" s="8">
        <f t="shared" ca="1" si="2"/>
        <v>46173.713128356481</v>
      </c>
      <c r="R179" s="7">
        <f ca="1">DATEDIF(data[[#This Row],[Customer_Since]],data[[#This Row],[Timestamp]],"M")</f>
        <v>54</v>
      </c>
      <c r="S179">
        <f>COUNTIF($H$5:H179,H179)</f>
        <v>10</v>
      </c>
      <c r="T179">
        <f>COUNTIF($L$5:L179,L179)</f>
        <v>53</v>
      </c>
      <c r="U179">
        <f>COUNTIF($M$5:M179,M179)</f>
        <v>35</v>
      </c>
      <c r="V179" s="14">
        <f>EOMONTH(data[[#This Row],[Date]],0)</f>
        <v>45596</v>
      </c>
    </row>
    <row r="180" spans="2:22" ht="15.75" customHeight="1" x14ac:dyDescent="0.3">
      <c r="B180" s="4" t="s">
        <v>348</v>
      </c>
      <c r="C180" s="9">
        <v>45568</v>
      </c>
      <c r="D180" s="4" t="s">
        <v>87</v>
      </c>
      <c r="E180" s="4" t="str">
        <f>RIGHT(data[[#This Row],[Customer_ID]],3)</f>
        <v>009</v>
      </c>
      <c r="F180" s="4" t="s">
        <v>88</v>
      </c>
      <c r="G180" s="4" t="s">
        <v>145</v>
      </c>
      <c r="H180" s="4" t="s">
        <v>146</v>
      </c>
      <c r="I180" s="4" t="s">
        <v>47</v>
      </c>
      <c r="J180" s="4">
        <v>1</v>
      </c>
      <c r="K180" s="4">
        <v>89.99</v>
      </c>
      <c r="L180" s="4" t="s">
        <v>54</v>
      </c>
      <c r="M180" s="4" t="s">
        <v>63</v>
      </c>
      <c r="N180" s="4" t="s">
        <v>55</v>
      </c>
      <c r="O180" s="5">
        <v>44591</v>
      </c>
      <c r="P180" s="4">
        <v>89.99</v>
      </c>
      <c r="Q180" s="8">
        <f t="shared" ca="1" si="2"/>
        <v>46173.713128356481</v>
      </c>
      <c r="R180" s="7">
        <f ca="1">DATEDIF(data[[#This Row],[Customer_Since]],data[[#This Row],[Timestamp]],"M")</f>
        <v>52</v>
      </c>
      <c r="S180">
        <f>COUNTIF($H$5:H180,H180)</f>
        <v>23</v>
      </c>
      <c r="T180">
        <f>COUNTIF($L$5:L180,L180)</f>
        <v>54</v>
      </c>
      <c r="U180">
        <f>COUNTIF($M$5:M180,M180)</f>
        <v>29</v>
      </c>
      <c r="V180" s="14">
        <f>EOMONTH(data[[#This Row],[Date]],0)</f>
        <v>45596</v>
      </c>
    </row>
    <row r="181" spans="2:22" ht="15.75" customHeight="1" x14ac:dyDescent="0.3">
      <c r="B181" s="4" t="s">
        <v>349</v>
      </c>
      <c r="C181" s="9">
        <v>45569</v>
      </c>
      <c r="D181" s="4" t="s">
        <v>136</v>
      </c>
      <c r="E181" s="4" t="str">
        <f>RIGHT(data[[#This Row],[Customer_ID]],3)</f>
        <v>036</v>
      </c>
      <c r="F181" s="4" t="s">
        <v>137</v>
      </c>
      <c r="G181" s="4" t="s">
        <v>72</v>
      </c>
      <c r="H181" s="4" t="s">
        <v>73</v>
      </c>
      <c r="I181" s="4" t="s">
        <v>74</v>
      </c>
      <c r="J181" s="4">
        <v>5</v>
      </c>
      <c r="K181" s="4">
        <v>149.99</v>
      </c>
      <c r="L181" s="4" t="s">
        <v>48</v>
      </c>
      <c r="M181" s="4" t="s">
        <v>49</v>
      </c>
      <c r="N181" s="4" t="s">
        <v>55</v>
      </c>
      <c r="O181" s="5">
        <v>45347</v>
      </c>
      <c r="P181" s="4">
        <v>749.95</v>
      </c>
      <c r="Q181" s="8">
        <f t="shared" ca="1" si="2"/>
        <v>46173.713128356481</v>
      </c>
      <c r="R181" s="7">
        <f ca="1">DATEDIF(data[[#This Row],[Customer_Since]],data[[#This Row],[Timestamp]],"M")</f>
        <v>27</v>
      </c>
      <c r="S181">
        <f>COUNTIF($H$5:H181,H181)</f>
        <v>24</v>
      </c>
      <c r="T181">
        <f>COUNTIF($L$5:L181,L181)</f>
        <v>57</v>
      </c>
      <c r="U181">
        <f>COUNTIF($M$5:M181,M181)</f>
        <v>36</v>
      </c>
      <c r="V181" s="14">
        <f>EOMONTH(data[[#This Row],[Date]],0)</f>
        <v>45596</v>
      </c>
    </row>
    <row r="182" spans="2:22" ht="15.75" customHeight="1" x14ac:dyDescent="0.3">
      <c r="B182" s="4" t="s">
        <v>350</v>
      </c>
      <c r="C182" s="9">
        <v>45570</v>
      </c>
      <c r="D182" s="4" t="s">
        <v>114</v>
      </c>
      <c r="E182" s="4" t="str">
        <f>RIGHT(data[[#This Row],[Customer_ID]],3)</f>
        <v>025</v>
      </c>
      <c r="F182" s="4" t="s">
        <v>115</v>
      </c>
      <c r="G182" s="4" t="s">
        <v>89</v>
      </c>
      <c r="H182" s="4" t="s">
        <v>90</v>
      </c>
      <c r="I182" s="4" t="s">
        <v>47</v>
      </c>
      <c r="J182" s="4">
        <v>1</v>
      </c>
      <c r="K182" s="4">
        <v>899.99</v>
      </c>
      <c r="L182" s="4" t="s">
        <v>62</v>
      </c>
      <c r="M182" s="4" t="s">
        <v>68</v>
      </c>
      <c r="N182" s="4" t="s">
        <v>55</v>
      </c>
      <c r="O182" s="5">
        <v>45050</v>
      </c>
      <c r="P182" s="4">
        <v>899.99</v>
      </c>
      <c r="Q182" s="8">
        <f t="shared" ca="1" si="2"/>
        <v>46173.713128356481</v>
      </c>
      <c r="R182" s="7">
        <f ca="1">DATEDIF(data[[#This Row],[Customer_Since]],data[[#This Row],[Timestamp]],"M")</f>
        <v>36</v>
      </c>
      <c r="S182">
        <f>COUNTIF($H$5:H182,H182)</f>
        <v>17</v>
      </c>
      <c r="T182">
        <f>COUNTIF($L$5:L182,L182)</f>
        <v>33</v>
      </c>
      <c r="U182">
        <f>COUNTIF($M$5:M182,M182)</f>
        <v>44</v>
      </c>
      <c r="V182" s="14">
        <f>EOMONTH(data[[#This Row],[Date]],0)</f>
        <v>45596</v>
      </c>
    </row>
    <row r="183" spans="2:22" ht="15.75" customHeight="1" x14ac:dyDescent="0.3">
      <c r="B183" s="4" t="s">
        <v>351</v>
      </c>
      <c r="C183" s="9">
        <v>45571</v>
      </c>
      <c r="D183" s="4" t="s">
        <v>175</v>
      </c>
      <c r="E183" s="4" t="str">
        <f>RIGHT(data[[#This Row],[Customer_ID]],3)</f>
        <v>019</v>
      </c>
      <c r="F183" s="4" t="s">
        <v>176</v>
      </c>
      <c r="G183" s="4" t="s">
        <v>145</v>
      </c>
      <c r="H183" s="4" t="s">
        <v>146</v>
      </c>
      <c r="I183" s="4" t="s">
        <v>47</v>
      </c>
      <c r="J183" s="4">
        <v>2</v>
      </c>
      <c r="K183" s="4">
        <v>89.99</v>
      </c>
      <c r="L183" s="4" t="s">
        <v>54</v>
      </c>
      <c r="M183" s="4" t="s">
        <v>63</v>
      </c>
      <c r="N183" s="4" t="s">
        <v>55</v>
      </c>
      <c r="O183" s="5">
        <v>44564</v>
      </c>
      <c r="P183" s="4">
        <v>179.98</v>
      </c>
      <c r="Q183" s="8">
        <f t="shared" ca="1" si="2"/>
        <v>46173.713128356481</v>
      </c>
      <c r="R183" s="7">
        <f ca="1">DATEDIF(data[[#This Row],[Customer_Since]],data[[#This Row],[Timestamp]],"M")</f>
        <v>52</v>
      </c>
      <c r="S183">
        <f>COUNTIF($H$5:H183,H183)</f>
        <v>24</v>
      </c>
      <c r="T183">
        <f>COUNTIF($L$5:L183,L183)</f>
        <v>55</v>
      </c>
      <c r="U183">
        <f>COUNTIF($M$5:M183,M183)</f>
        <v>30</v>
      </c>
      <c r="V183" s="14">
        <f>EOMONTH(data[[#This Row],[Date]],0)</f>
        <v>45596</v>
      </c>
    </row>
    <row r="184" spans="2:22" ht="15.75" customHeight="1" x14ac:dyDescent="0.3">
      <c r="B184" s="4" t="s">
        <v>352</v>
      </c>
      <c r="C184" s="9">
        <v>45572</v>
      </c>
      <c r="D184" s="4" t="s">
        <v>353</v>
      </c>
      <c r="E184" s="4" t="str">
        <f>RIGHT(data[[#This Row],[Customer_ID]],3)</f>
        <v>037</v>
      </c>
      <c r="F184" s="4" t="s">
        <v>354</v>
      </c>
      <c r="G184" s="4" t="s">
        <v>89</v>
      </c>
      <c r="H184" s="4" t="s">
        <v>90</v>
      </c>
      <c r="I184" s="4" t="s">
        <v>47</v>
      </c>
      <c r="J184" s="4">
        <v>1</v>
      </c>
      <c r="K184" s="4">
        <v>899.99</v>
      </c>
      <c r="L184" s="4" t="s">
        <v>62</v>
      </c>
      <c r="M184" s="4" t="s">
        <v>68</v>
      </c>
      <c r="N184" s="4" t="s">
        <v>64</v>
      </c>
      <c r="O184" s="5">
        <v>44752</v>
      </c>
      <c r="P184" s="4">
        <v>899.99</v>
      </c>
      <c r="Q184" s="8">
        <f t="shared" ca="1" si="2"/>
        <v>46173.713128356481</v>
      </c>
      <c r="R184" s="7">
        <f ca="1">DATEDIF(data[[#This Row],[Customer_Since]],data[[#This Row],[Timestamp]],"M")</f>
        <v>46</v>
      </c>
      <c r="S184">
        <f>COUNTIF($H$5:H184,H184)</f>
        <v>18</v>
      </c>
      <c r="T184">
        <f>COUNTIF($L$5:L184,L184)</f>
        <v>34</v>
      </c>
      <c r="U184">
        <f>COUNTIF($M$5:M184,M184)</f>
        <v>45</v>
      </c>
      <c r="V184" s="14">
        <f>EOMONTH(data[[#This Row],[Date]],0)</f>
        <v>45596</v>
      </c>
    </row>
    <row r="185" spans="2:22" ht="15.75" customHeight="1" x14ac:dyDescent="0.3">
      <c r="B185" s="4" t="s">
        <v>355</v>
      </c>
      <c r="C185" s="9">
        <v>45573</v>
      </c>
      <c r="D185" s="4" t="s">
        <v>157</v>
      </c>
      <c r="E185" s="4" t="str">
        <f>RIGHT(data[[#This Row],[Customer_ID]],3)</f>
        <v>006</v>
      </c>
      <c r="F185" s="4" t="s">
        <v>158</v>
      </c>
      <c r="G185" s="4" t="s">
        <v>80</v>
      </c>
      <c r="H185" s="4" t="s">
        <v>81</v>
      </c>
      <c r="I185" s="4" t="s">
        <v>47</v>
      </c>
      <c r="J185" s="4">
        <v>5</v>
      </c>
      <c r="K185" s="4">
        <v>149.99</v>
      </c>
      <c r="L185" s="4" t="s">
        <v>62</v>
      </c>
      <c r="M185" s="4" t="s">
        <v>91</v>
      </c>
      <c r="N185" s="4" t="s">
        <v>55</v>
      </c>
      <c r="O185" s="5">
        <v>44824</v>
      </c>
      <c r="P185" s="4">
        <v>749.95</v>
      </c>
      <c r="Q185" s="8">
        <f t="shared" ca="1" si="2"/>
        <v>46173.713128356481</v>
      </c>
      <c r="R185" s="7">
        <f ca="1">DATEDIF(data[[#This Row],[Customer_Since]],data[[#This Row],[Timestamp]],"M")</f>
        <v>44</v>
      </c>
      <c r="S185">
        <f>COUNTIF($H$5:H185,H185)</f>
        <v>14</v>
      </c>
      <c r="T185">
        <f>COUNTIF($L$5:L185,L185)</f>
        <v>35</v>
      </c>
      <c r="U185">
        <f>COUNTIF($M$5:M185,M185)</f>
        <v>37</v>
      </c>
      <c r="V185" s="14">
        <f>EOMONTH(data[[#This Row],[Date]],0)</f>
        <v>45596</v>
      </c>
    </row>
    <row r="186" spans="2:22" ht="15.75" customHeight="1" x14ac:dyDescent="0.3">
      <c r="B186" s="4" t="s">
        <v>356</v>
      </c>
      <c r="C186" s="9">
        <v>45574</v>
      </c>
      <c r="D186" s="4" t="s">
        <v>70</v>
      </c>
      <c r="E186" s="4" t="str">
        <f>RIGHT(data[[#This Row],[Customer_ID]],3)</f>
        <v>003</v>
      </c>
      <c r="F186" s="4" t="s">
        <v>71</v>
      </c>
      <c r="G186" s="4" t="s">
        <v>133</v>
      </c>
      <c r="H186" s="4" t="s">
        <v>134</v>
      </c>
      <c r="I186" s="4" t="s">
        <v>74</v>
      </c>
      <c r="J186" s="4">
        <v>3</v>
      </c>
      <c r="K186" s="4">
        <v>299.99</v>
      </c>
      <c r="L186" s="4" t="s">
        <v>48</v>
      </c>
      <c r="M186" s="4" t="s">
        <v>63</v>
      </c>
      <c r="N186" s="4" t="s">
        <v>64</v>
      </c>
      <c r="O186" s="5">
        <v>44422</v>
      </c>
      <c r="P186" s="4">
        <v>899.97</v>
      </c>
      <c r="Q186" s="8">
        <f t="shared" ca="1" si="2"/>
        <v>46173.713128356481</v>
      </c>
      <c r="R186" s="7">
        <f ca="1">DATEDIF(data[[#This Row],[Customer_Since]],data[[#This Row],[Timestamp]],"M")</f>
        <v>57</v>
      </c>
      <c r="S186">
        <f>COUNTIF($H$5:H186,H186)</f>
        <v>18</v>
      </c>
      <c r="T186">
        <f>COUNTIF($L$5:L186,L186)</f>
        <v>58</v>
      </c>
      <c r="U186">
        <f>COUNTIF($M$5:M186,M186)</f>
        <v>31</v>
      </c>
      <c r="V186" s="14">
        <f>EOMONTH(data[[#This Row],[Date]],0)</f>
        <v>45596</v>
      </c>
    </row>
    <row r="187" spans="2:22" ht="15.75" customHeight="1" x14ac:dyDescent="0.3">
      <c r="B187" s="4" t="s">
        <v>357</v>
      </c>
      <c r="C187" s="9">
        <v>45575</v>
      </c>
      <c r="D187" s="4" t="s">
        <v>93</v>
      </c>
      <c r="E187" s="4" t="str">
        <f>RIGHT(data[[#This Row],[Customer_ID]],3)</f>
        <v>026</v>
      </c>
      <c r="F187" s="4" t="s">
        <v>94</v>
      </c>
      <c r="G187" s="4" t="s">
        <v>108</v>
      </c>
      <c r="H187" s="4" t="s">
        <v>109</v>
      </c>
      <c r="I187" s="4" t="s">
        <v>47</v>
      </c>
      <c r="J187" s="4">
        <v>3</v>
      </c>
      <c r="K187" s="4">
        <v>699.99</v>
      </c>
      <c r="L187" s="4" t="s">
        <v>54</v>
      </c>
      <c r="M187" s="4" t="s">
        <v>49</v>
      </c>
      <c r="N187" s="4" t="s">
        <v>55</v>
      </c>
      <c r="O187" s="5">
        <v>45105</v>
      </c>
      <c r="P187" s="4">
        <v>2099.9699999999998</v>
      </c>
      <c r="Q187" s="8">
        <f t="shared" ca="1" si="2"/>
        <v>46173.713128356481</v>
      </c>
      <c r="R187" s="7">
        <f ca="1">DATEDIF(data[[#This Row],[Customer_Since]],data[[#This Row],[Timestamp]],"M")</f>
        <v>35</v>
      </c>
      <c r="S187">
        <f>COUNTIF($H$5:H187,H187)</f>
        <v>22</v>
      </c>
      <c r="T187">
        <f>COUNTIF($L$5:L187,L187)</f>
        <v>56</v>
      </c>
      <c r="U187">
        <f>COUNTIF($M$5:M187,M187)</f>
        <v>37</v>
      </c>
      <c r="V187" s="14">
        <f>EOMONTH(data[[#This Row],[Date]],0)</f>
        <v>45596</v>
      </c>
    </row>
    <row r="188" spans="2:22" ht="15.75" customHeight="1" x14ac:dyDescent="0.3">
      <c r="B188" s="4" t="s">
        <v>358</v>
      </c>
      <c r="C188" s="9">
        <v>45576</v>
      </c>
      <c r="D188" s="4" t="s">
        <v>136</v>
      </c>
      <c r="E188" s="4" t="str">
        <f>RIGHT(data[[#This Row],[Customer_ID]],3)</f>
        <v>036</v>
      </c>
      <c r="F188" s="4" t="s">
        <v>137</v>
      </c>
      <c r="G188" s="4" t="s">
        <v>154</v>
      </c>
      <c r="H188" s="4" t="s">
        <v>155</v>
      </c>
      <c r="I188" s="4" t="s">
        <v>74</v>
      </c>
      <c r="J188" s="4">
        <v>5</v>
      </c>
      <c r="K188" s="4">
        <v>199.99</v>
      </c>
      <c r="L188" s="4" t="s">
        <v>62</v>
      </c>
      <c r="M188" s="4" t="s">
        <v>49</v>
      </c>
      <c r="N188" s="4" t="s">
        <v>64</v>
      </c>
      <c r="O188" s="5">
        <v>44633</v>
      </c>
      <c r="P188" s="4">
        <v>999.95</v>
      </c>
      <c r="Q188" s="8">
        <f t="shared" ca="1" si="2"/>
        <v>46173.713128356481</v>
      </c>
      <c r="R188" s="7">
        <f ca="1">DATEDIF(data[[#This Row],[Customer_Since]],data[[#This Row],[Timestamp]],"M")</f>
        <v>50</v>
      </c>
      <c r="S188">
        <f>COUNTIF($H$5:H188,H188)</f>
        <v>11</v>
      </c>
      <c r="T188">
        <f>COUNTIF($L$5:L188,L188)</f>
        <v>36</v>
      </c>
      <c r="U188">
        <f>COUNTIF($M$5:M188,M188)</f>
        <v>38</v>
      </c>
      <c r="V188" s="14">
        <f>EOMONTH(data[[#This Row],[Date]],0)</f>
        <v>45596</v>
      </c>
    </row>
    <row r="189" spans="2:22" ht="15.75" customHeight="1" x14ac:dyDescent="0.3">
      <c r="B189" s="4" t="s">
        <v>359</v>
      </c>
      <c r="C189" s="9">
        <v>45577</v>
      </c>
      <c r="D189" s="4" t="s">
        <v>121</v>
      </c>
      <c r="E189" s="4" t="str">
        <f>RIGHT(data[[#This Row],[Customer_ID]],3)</f>
        <v>048</v>
      </c>
      <c r="F189" s="4" t="s">
        <v>122</v>
      </c>
      <c r="G189" s="4" t="s">
        <v>45</v>
      </c>
      <c r="H189" s="4" t="s">
        <v>46</v>
      </c>
      <c r="I189" s="4" t="s">
        <v>47</v>
      </c>
      <c r="J189" s="4">
        <v>5</v>
      </c>
      <c r="K189" s="4">
        <v>249.99</v>
      </c>
      <c r="L189" s="4" t="s">
        <v>54</v>
      </c>
      <c r="M189" s="4" t="s">
        <v>63</v>
      </c>
      <c r="N189" s="4" t="s">
        <v>50</v>
      </c>
      <c r="O189" s="5">
        <v>45330</v>
      </c>
      <c r="P189" s="4">
        <v>1249.95</v>
      </c>
      <c r="Q189" s="8">
        <f t="shared" ca="1" si="2"/>
        <v>46173.713128356481</v>
      </c>
      <c r="R189" s="7">
        <f ca="1">DATEDIF(data[[#This Row],[Customer_Since]],data[[#This Row],[Timestamp]],"M")</f>
        <v>27</v>
      </c>
      <c r="S189">
        <f>COUNTIF($H$5:H189,H189)</f>
        <v>22</v>
      </c>
      <c r="T189">
        <f>COUNTIF($L$5:L189,L189)</f>
        <v>57</v>
      </c>
      <c r="U189">
        <f>COUNTIF($M$5:M189,M189)</f>
        <v>32</v>
      </c>
      <c r="V189" s="14">
        <f>EOMONTH(data[[#This Row],[Date]],0)</f>
        <v>45596</v>
      </c>
    </row>
    <row r="190" spans="2:22" ht="15.75" customHeight="1" x14ac:dyDescent="0.3">
      <c r="B190" s="4" t="s">
        <v>360</v>
      </c>
      <c r="C190" s="9">
        <v>45578</v>
      </c>
      <c r="D190" s="4" t="s">
        <v>166</v>
      </c>
      <c r="E190" s="4" t="str">
        <f>RIGHT(data[[#This Row],[Customer_ID]],3)</f>
        <v>031</v>
      </c>
      <c r="F190" s="4" t="s">
        <v>167</v>
      </c>
      <c r="G190" s="4" t="s">
        <v>80</v>
      </c>
      <c r="H190" s="4" t="s">
        <v>81</v>
      </c>
      <c r="I190" s="4" t="s">
        <v>47</v>
      </c>
      <c r="J190" s="4">
        <v>4</v>
      </c>
      <c r="K190" s="4">
        <v>149.99</v>
      </c>
      <c r="L190" s="4" t="s">
        <v>85</v>
      </c>
      <c r="M190" s="4" t="s">
        <v>91</v>
      </c>
      <c r="N190" s="4" t="s">
        <v>64</v>
      </c>
      <c r="O190" s="5">
        <v>44536</v>
      </c>
      <c r="P190" s="4">
        <v>599.96</v>
      </c>
      <c r="Q190" s="8">
        <f t="shared" ca="1" si="2"/>
        <v>46173.713128356481</v>
      </c>
      <c r="R190" s="7">
        <f ca="1">DATEDIF(data[[#This Row],[Customer_Since]],data[[#This Row],[Timestamp]],"M")</f>
        <v>53</v>
      </c>
      <c r="S190">
        <f>COUNTIF($H$5:H190,H190)</f>
        <v>15</v>
      </c>
      <c r="T190">
        <f>COUNTIF($L$5:L190,L190)</f>
        <v>35</v>
      </c>
      <c r="U190">
        <f>COUNTIF($M$5:M190,M190)</f>
        <v>38</v>
      </c>
      <c r="V190" s="14">
        <f>EOMONTH(data[[#This Row],[Date]],0)</f>
        <v>45596</v>
      </c>
    </row>
    <row r="191" spans="2:22" ht="15.75" customHeight="1" x14ac:dyDescent="0.3">
      <c r="B191" s="4" t="s">
        <v>361</v>
      </c>
      <c r="C191" s="9">
        <v>45579</v>
      </c>
      <c r="D191" s="4" t="s">
        <v>106</v>
      </c>
      <c r="E191" s="4" t="str">
        <f>RIGHT(data[[#This Row],[Customer_ID]],3)</f>
        <v>038</v>
      </c>
      <c r="F191" s="4" t="s">
        <v>107</v>
      </c>
      <c r="G191" s="4" t="s">
        <v>108</v>
      </c>
      <c r="H191" s="4" t="s">
        <v>109</v>
      </c>
      <c r="I191" s="4" t="s">
        <v>47</v>
      </c>
      <c r="J191" s="4">
        <v>3</v>
      </c>
      <c r="K191" s="4">
        <v>699.99</v>
      </c>
      <c r="L191" s="4" t="s">
        <v>48</v>
      </c>
      <c r="M191" s="4" t="s">
        <v>68</v>
      </c>
      <c r="N191" s="4" t="s">
        <v>55</v>
      </c>
      <c r="O191" s="5">
        <v>44602</v>
      </c>
      <c r="P191" s="4">
        <v>2099.9699999999998</v>
      </c>
      <c r="Q191" s="8">
        <f t="shared" ca="1" si="2"/>
        <v>46173.713128356481</v>
      </c>
      <c r="R191" s="7">
        <f ca="1">DATEDIF(data[[#This Row],[Customer_Since]],data[[#This Row],[Timestamp]],"M")</f>
        <v>51</v>
      </c>
      <c r="S191">
        <f>COUNTIF($H$5:H191,H191)</f>
        <v>23</v>
      </c>
      <c r="T191">
        <f>COUNTIF($L$5:L191,L191)</f>
        <v>59</v>
      </c>
      <c r="U191">
        <f>COUNTIF($M$5:M191,M191)</f>
        <v>46</v>
      </c>
      <c r="V191" s="14">
        <f>EOMONTH(data[[#This Row],[Date]],0)</f>
        <v>45596</v>
      </c>
    </row>
    <row r="192" spans="2:22" ht="15.75" customHeight="1" x14ac:dyDescent="0.3">
      <c r="B192" s="4" t="s">
        <v>362</v>
      </c>
      <c r="C192" s="9">
        <v>45580</v>
      </c>
      <c r="D192" s="4" t="s">
        <v>321</v>
      </c>
      <c r="E192" s="4" t="str">
        <f>RIGHT(data[[#This Row],[Customer_ID]],3)</f>
        <v>045</v>
      </c>
      <c r="F192" s="4" t="s">
        <v>322</v>
      </c>
      <c r="G192" s="4" t="s">
        <v>142</v>
      </c>
      <c r="H192" s="4" t="s">
        <v>143</v>
      </c>
      <c r="I192" s="4" t="s">
        <v>61</v>
      </c>
      <c r="J192" s="4">
        <v>1</v>
      </c>
      <c r="K192" s="4">
        <v>79.989999999999995</v>
      </c>
      <c r="L192" s="4" t="s">
        <v>54</v>
      </c>
      <c r="M192" s="4" t="s">
        <v>63</v>
      </c>
      <c r="N192" s="4" t="s">
        <v>50</v>
      </c>
      <c r="O192" s="5">
        <v>45322</v>
      </c>
      <c r="P192" s="4">
        <v>79.989999999999995</v>
      </c>
      <c r="Q192" s="8">
        <f t="shared" ca="1" si="2"/>
        <v>46173.713128356481</v>
      </c>
      <c r="R192" s="7">
        <f ca="1">DATEDIF(data[[#This Row],[Customer_Since]],data[[#This Row],[Timestamp]],"M")</f>
        <v>28</v>
      </c>
      <c r="S192">
        <f>COUNTIF($H$5:H192,H192)</f>
        <v>11</v>
      </c>
      <c r="T192">
        <f>COUNTIF($L$5:L192,L192)</f>
        <v>58</v>
      </c>
      <c r="U192">
        <f>COUNTIF($M$5:M192,M192)</f>
        <v>33</v>
      </c>
      <c r="V192" s="14">
        <f>EOMONTH(data[[#This Row],[Date]],0)</f>
        <v>45596</v>
      </c>
    </row>
    <row r="193" spans="2:22" ht="15.75" customHeight="1" x14ac:dyDescent="0.3">
      <c r="B193" s="4" t="s">
        <v>363</v>
      </c>
      <c r="C193" s="9">
        <v>45581</v>
      </c>
      <c r="D193" s="4" t="s">
        <v>114</v>
      </c>
      <c r="E193" s="4" t="str">
        <f>RIGHT(data[[#This Row],[Customer_ID]],3)</f>
        <v>025</v>
      </c>
      <c r="F193" s="4" t="s">
        <v>115</v>
      </c>
      <c r="G193" s="4" t="s">
        <v>133</v>
      </c>
      <c r="H193" s="4" t="s">
        <v>134</v>
      </c>
      <c r="I193" s="4" t="s">
        <v>74</v>
      </c>
      <c r="J193" s="4">
        <v>1</v>
      </c>
      <c r="K193" s="4">
        <v>299.99</v>
      </c>
      <c r="L193" s="4" t="s">
        <v>54</v>
      </c>
      <c r="M193" s="4" t="s">
        <v>68</v>
      </c>
      <c r="N193" s="4" t="s">
        <v>50</v>
      </c>
      <c r="O193" s="5">
        <v>44436</v>
      </c>
      <c r="P193" s="4">
        <v>299.99</v>
      </c>
      <c r="Q193" s="8">
        <f t="shared" ca="1" si="2"/>
        <v>46173.713128356481</v>
      </c>
      <c r="R193" s="7">
        <f ca="1">DATEDIF(data[[#This Row],[Customer_Since]],data[[#This Row],[Timestamp]],"M")</f>
        <v>57</v>
      </c>
      <c r="S193">
        <f>COUNTIF($H$5:H193,H193)</f>
        <v>19</v>
      </c>
      <c r="T193">
        <f>COUNTIF($L$5:L193,L193)</f>
        <v>59</v>
      </c>
      <c r="U193">
        <f>COUNTIF($M$5:M193,M193)</f>
        <v>47</v>
      </c>
      <c r="V193" s="14">
        <f>EOMONTH(data[[#This Row],[Date]],0)</f>
        <v>45596</v>
      </c>
    </row>
    <row r="194" spans="2:22" ht="15.75" customHeight="1" x14ac:dyDescent="0.3">
      <c r="B194" s="4" t="s">
        <v>364</v>
      </c>
      <c r="C194" s="9">
        <v>45582</v>
      </c>
      <c r="D194" s="4" t="s">
        <v>186</v>
      </c>
      <c r="E194" s="4" t="str">
        <f>RIGHT(data[[#This Row],[Customer_ID]],3)</f>
        <v>028</v>
      </c>
      <c r="F194" s="4" t="s">
        <v>187</v>
      </c>
      <c r="G194" s="4" t="s">
        <v>45</v>
      </c>
      <c r="H194" s="4" t="s">
        <v>46</v>
      </c>
      <c r="I194" s="4" t="s">
        <v>47</v>
      </c>
      <c r="J194" s="4">
        <v>4</v>
      </c>
      <c r="K194" s="4">
        <v>249.99</v>
      </c>
      <c r="L194" s="4" t="s">
        <v>54</v>
      </c>
      <c r="M194" s="4" t="s">
        <v>68</v>
      </c>
      <c r="N194" s="4" t="s">
        <v>55</v>
      </c>
      <c r="O194" s="5">
        <v>44460</v>
      </c>
      <c r="P194" s="4">
        <v>999.96</v>
      </c>
      <c r="Q194" s="8">
        <f t="shared" ca="1" si="2"/>
        <v>46173.713128356481</v>
      </c>
      <c r="R194" s="7">
        <f ca="1">DATEDIF(data[[#This Row],[Customer_Since]],data[[#This Row],[Timestamp]],"M")</f>
        <v>56</v>
      </c>
      <c r="S194">
        <f>COUNTIF($H$5:H194,H194)</f>
        <v>23</v>
      </c>
      <c r="T194">
        <f>COUNTIF($L$5:L194,L194)</f>
        <v>60</v>
      </c>
      <c r="U194">
        <f>COUNTIF($M$5:M194,M194)</f>
        <v>48</v>
      </c>
      <c r="V194" s="14">
        <f>EOMONTH(data[[#This Row],[Date]],0)</f>
        <v>45596</v>
      </c>
    </row>
    <row r="195" spans="2:22" ht="15.75" customHeight="1" x14ac:dyDescent="0.3">
      <c r="B195" s="4" t="s">
        <v>365</v>
      </c>
      <c r="C195" s="9">
        <v>45583</v>
      </c>
      <c r="D195" s="4" t="s">
        <v>148</v>
      </c>
      <c r="E195" s="4" t="str">
        <f>RIGHT(data[[#This Row],[Customer_ID]],3)</f>
        <v>030</v>
      </c>
      <c r="F195" s="4" t="s">
        <v>149</v>
      </c>
      <c r="G195" s="4" t="s">
        <v>80</v>
      </c>
      <c r="H195" s="4" t="s">
        <v>81</v>
      </c>
      <c r="I195" s="4" t="s">
        <v>47</v>
      </c>
      <c r="J195" s="4">
        <v>2</v>
      </c>
      <c r="K195" s="4">
        <v>149.99</v>
      </c>
      <c r="L195" s="4" t="s">
        <v>48</v>
      </c>
      <c r="M195" s="4" t="s">
        <v>68</v>
      </c>
      <c r="N195" s="4" t="s">
        <v>64</v>
      </c>
      <c r="O195" s="5">
        <v>44913</v>
      </c>
      <c r="P195" s="4">
        <v>299.98</v>
      </c>
      <c r="Q195" s="8">
        <f t="shared" ca="1" si="2"/>
        <v>46173.713128356481</v>
      </c>
      <c r="R195" s="7">
        <f ca="1">DATEDIF(data[[#This Row],[Customer_Since]],data[[#This Row],[Timestamp]],"M")</f>
        <v>41</v>
      </c>
      <c r="S195">
        <f>COUNTIF($H$5:H195,H195)</f>
        <v>16</v>
      </c>
      <c r="T195">
        <f>COUNTIF($L$5:L195,L195)</f>
        <v>60</v>
      </c>
      <c r="U195">
        <f>COUNTIF($M$5:M195,M195)</f>
        <v>49</v>
      </c>
      <c r="V195" s="14">
        <f>EOMONTH(data[[#This Row],[Date]],0)</f>
        <v>45596</v>
      </c>
    </row>
    <row r="196" spans="2:22" ht="15.75" customHeight="1" x14ac:dyDescent="0.3">
      <c r="B196" s="4" t="s">
        <v>366</v>
      </c>
      <c r="C196" s="9">
        <v>45584</v>
      </c>
      <c r="D196" s="4" t="s">
        <v>262</v>
      </c>
      <c r="E196" s="4" t="str">
        <f>RIGHT(data[[#This Row],[Customer_ID]],3)</f>
        <v>032</v>
      </c>
      <c r="F196" s="4" t="s">
        <v>263</v>
      </c>
      <c r="G196" s="4" t="s">
        <v>133</v>
      </c>
      <c r="H196" s="4" t="s">
        <v>134</v>
      </c>
      <c r="I196" s="4" t="s">
        <v>74</v>
      </c>
      <c r="J196" s="4">
        <v>3</v>
      </c>
      <c r="K196" s="4">
        <v>299.99</v>
      </c>
      <c r="L196" s="4" t="s">
        <v>54</v>
      </c>
      <c r="M196" s="4" t="s">
        <v>63</v>
      </c>
      <c r="N196" s="4" t="s">
        <v>50</v>
      </c>
      <c r="O196" s="5">
        <v>45204</v>
      </c>
      <c r="P196" s="4">
        <v>899.97</v>
      </c>
      <c r="Q196" s="8">
        <f t="shared" ca="1" si="2"/>
        <v>46173.713128356481</v>
      </c>
      <c r="R196" s="7">
        <f ca="1">DATEDIF(data[[#This Row],[Customer_Since]],data[[#This Row],[Timestamp]],"M")</f>
        <v>31</v>
      </c>
      <c r="S196">
        <f>COUNTIF($H$5:H196,H196)</f>
        <v>20</v>
      </c>
      <c r="T196">
        <f>COUNTIF($L$5:L196,L196)</f>
        <v>61</v>
      </c>
      <c r="U196">
        <f>COUNTIF($M$5:M196,M196)</f>
        <v>34</v>
      </c>
      <c r="V196" s="14">
        <f>EOMONTH(data[[#This Row],[Date]],0)</f>
        <v>45596</v>
      </c>
    </row>
    <row r="197" spans="2:22" ht="15.75" customHeight="1" x14ac:dyDescent="0.3">
      <c r="B197" s="4" t="s">
        <v>367</v>
      </c>
      <c r="C197" s="9">
        <v>45585</v>
      </c>
      <c r="D197" s="4" t="s">
        <v>254</v>
      </c>
      <c r="E197" s="4" t="str">
        <f>RIGHT(data[[#This Row],[Customer_ID]],3)</f>
        <v>039</v>
      </c>
      <c r="F197" s="4" t="s">
        <v>255</v>
      </c>
      <c r="G197" s="4" t="s">
        <v>154</v>
      </c>
      <c r="H197" s="4" t="s">
        <v>155</v>
      </c>
      <c r="I197" s="4" t="s">
        <v>74</v>
      </c>
      <c r="J197" s="4">
        <v>4</v>
      </c>
      <c r="K197" s="4">
        <v>199.99</v>
      </c>
      <c r="L197" s="4" t="s">
        <v>85</v>
      </c>
      <c r="M197" s="4" t="s">
        <v>63</v>
      </c>
      <c r="N197" s="4" t="s">
        <v>64</v>
      </c>
      <c r="O197" s="5">
        <v>44544</v>
      </c>
      <c r="P197" s="4">
        <v>799.96</v>
      </c>
      <c r="Q197" s="8">
        <f t="shared" ref="Q197:Q254" ca="1" si="3">NOW()</f>
        <v>46173.713128356481</v>
      </c>
      <c r="R197" s="7">
        <f ca="1">DATEDIF(data[[#This Row],[Customer_Since]],data[[#This Row],[Timestamp]],"M")</f>
        <v>53</v>
      </c>
      <c r="S197">
        <f>COUNTIF($H$5:H197,H197)</f>
        <v>12</v>
      </c>
      <c r="T197">
        <f>COUNTIF($L$5:L197,L197)</f>
        <v>36</v>
      </c>
      <c r="U197">
        <f>COUNTIF($M$5:M197,M197)</f>
        <v>35</v>
      </c>
      <c r="V197" s="14">
        <f>EOMONTH(data[[#This Row],[Date]],0)</f>
        <v>45596</v>
      </c>
    </row>
    <row r="198" spans="2:22" ht="15.75" customHeight="1" x14ac:dyDescent="0.3">
      <c r="B198" s="4" t="s">
        <v>368</v>
      </c>
      <c r="C198" s="9">
        <v>45586</v>
      </c>
      <c r="D198" s="4" t="s">
        <v>239</v>
      </c>
      <c r="E198" s="4" t="str">
        <f>RIGHT(data[[#This Row],[Customer_ID]],3)</f>
        <v>016</v>
      </c>
      <c r="F198" s="4" t="s">
        <v>240</v>
      </c>
      <c r="G198" s="4" t="s">
        <v>133</v>
      </c>
      <c r="H198" s="4" t="s">
        <v>134</v>
      </c>
      <c r="I198" s="4" t="s">
        <v>74</v>
      </c>
      <c r="J198" s="4">
        <v>5</v>
      </c>
      <c r="K198" s="4">
        <v>299.99</v>
      </c>
      <c r="L198" s="4" t="s">
        <v>85</v>
      </c>
      <c r="M198" s="4" t="s">
        <v>49</v>
      </c>
      <c r="N198" s="4" t="s">
        <v>50</v>
      </c>
      <c r="O198" s="5">
        <v>44431</v>
      </c>
      <c r="P198" s="4">
        <v>1499.95</v>
      </c>
      <c r="Q198" s="8">
        <f t="shared" ca="1" si="3"/>
        <v>46173.713128356481</v>
      </c>
      <c r="R198" s="7">
        <f ca="1">DATEDIF(data[[#This Row],[Customer_Since]],data[[#This Row],[Timestamp]],"M")</f>
        <v>57</v>
      </c>
      <c r="S198">
        <f>COUNTIF($H$5:H198,H198)</f>
        <v>21</v>
      </c>
      <c r="T198">
        <f>COUNTIF($L$5:L198,L198)</f>
        <v>37</v>
      </c>
      <c r="U198">
        <f>COUNTIF($M$5:M198,M198)</f>
        <v>39</v>
      </c>
      <c r="V198" s="14">
        <f>EOMONTH(data[[#This Row],[Date]],0)</f>
        <v>45596</v>
      </c>
    </row>
    <row r="199" spans="2:22" ht="15.75" customHeight="1" x14ac:dyDescent="0.3">
      <c r="B199" s="4" t="s">
        <v>369</v>
      </c>
      <c r="C199" s="9">
        <v>45587</v>
      </c>
      <c r="D199" s="4" t="s">
        <v>87</v>
      </c>
      <c r="E199" s="4" t="str">
        <f>RIGHT(data[[#This Row],[Customer_ID]],3)</f>
        <v>009</v>
      </c>
      <c r="F199" s="4" t="s">
        <v>88</v>
      </c>
      <c r="G199" s="4" t="s">
        <v>72</v>
      </c>
      <c r="H199" s="4" t="s">
        <v>73</v>
      </c>
      <c r="I199" s="4" t="s">
        <v>74</v>
      </c>
      <c r="J199" s="4">
        <v>3</v>
      </c>
      <c r="K199" s="4">
        <v>149.99</v>
      </c>
      <c r="L199" s="4" t="s">
        <v>54</v>
      </c>
      <c r="M199" s="4" t="s">
        <v>91</v>
      </c>
      <c r="N199" s="4" t="s">
        <v>64</v>
      </c>
      <c r="O199" s="5">
        <v>44395</v>
      </c>
      <c r="P199" s="4">
        <v>449.97</v>
      </c>
      <c r="Q199" s="8">
        <f t="shared" ca="1" si="3"/>
        <v>46173.713128356481</v>
      </c>
      <c r="R199" s="7">
        <f ca="1">DATEDIF(data[[#This Row],[Customer_Since]],data[[#This Row],[Timestamp]],"M")</f>
        <v>58</v>
      </c>
      <c r="S199">
        <f>COUNTIF($H$5:H199,H199)</f>
        <v>25</v>
      </c>
      <c r="T199">
        <f>COUNTIF($L$5:L199,L199)</f>
        <v>62</v>
      </c>
      <c r="U199">
        <f>COUNTIF($M$5:M199,M199)</f>
        <v>39</v>
      </c>
      <c r="V199" s="14">
        <f>EOMONTH(data[[#This Row],[Date]],0)</f>
        <v>45596</v>
      </c>
    </row>
    <row r="200" spans="2:22" ht="15.75" customHeight="1" x14ac:dyDescent="0.3">
      <c r="B200" s="4" t="s">
        <v>370</v>
      </c>
      <c r="C200" s="9">
        <v>45588</v>
      </c>
      <c r="D200" s="4" t="s">
        <v>157</v>
      </c>
      <c r="E200" s="4" t="str">
        <f>RIGHT(data[[#This Row],[Customer_ID]],3)</f>
        <v>006</v>
      </c>
      <c r="F200" s="4" t="s">
        <v>158</v>
      </c>
      <c r="G200" s="4" t="s">
        <v>59</v>
      </c>
      <c r="H200" s="4" t="s">
        <v>60</v>
      </c>
      <c r="I200" s="4" t="s">
        <v>61</v>
      </c>
      <c r="J200" s="4">
        <v>5</v>
      </c>
      <c r="K200" s="4">
        <v>59.99</v>
      </c>
      <c r="L200" s="4" t="s">
        <v>85</v>
      </c>
      <c r="M200" s="4" t="s">
        <v>91</v>
      </c>
      <c r="N200" s="4" t="s">
        <v>50</v>
      </c>
      <c r="O200" s="5">
        <v>44642</v>
      </c>
      <c r="P200" s="4">
        <v>299.95</v>
      </c>
      <c r="Q200" s="8">
        <f t="shared" ca="1" si="3"/>
        <v>46173.713128356481</v>
      </c>
      <c r="R200" s="7">
        <f ca="1">DATEDIF(data[[#This Row],[Customer_Since]],data[[#This Row],[Timestamp]],"M")</f>
        <v>50</v>
      </c>
      <c r="S200">
        <f>COUNTIF($H$5:H200,H200)</f>
        <v>23</v>
      </c>
      <c r="T200">
        <f>COUNTIF($L$5:L200,L200)</f>
        <v>38</v>
      </c>
      <c r="U200">
        <f>COUNTIF($M$5:M200,M200)</f>
        <v>40</v>
      </c>
      <c r="V200" s="14">
        <f>EOMONTH(data[[#This Row],[Date]],0)</f>
        <v>45596</v>
      </c>
    </row>
    <row r="201" spans="2:22" ht="15.75" customHeight="1" x14ac:dyDescent="0.3">
      <c r="B201" s="4" t="s">
        <v>371</v>
      </c>
      <c r="C201" s="9">
        <v>45589</v>
      </c>
      <c r="D201" s="4" t="s">
        <v>96</v>
      </c>
      <c r="E201" s="4" t="str">
        <f>RIGHT(data[[#This Row],[Customer_ID]],3)</f>
        <v>022</v>
      </c>
      <c r="F201" s="4" t="s">
        <v>97</v>
      </c>
      <c r="G201" s="4" t="s">
        <v>59</v>
      </c>
      <c r="H201" s="4" t="s">
        <v>60</v>
      </c>
      <c r="I201" s="4" t="s">
        <v>61</v>
      </c>
      <c r="J201" s="4">
        <v>4</v>
      </c>
      <c r="K201" s="4">
        <v>59.99</v>
      </c>
      <c r="L201" s="4" t="s">
        <v>85</v>
      </c>
      <c r="M201" s="4" t="s">
        <v>91</v>
      </c>
      <c r="N201" s="4" t="s">
        <v>64</v>
      </c>
      <c r="O201" s="5">
        <v>44564</v>
      </c>
      <c r="P201" s="4">
        <v>239.96</v>
      </c>
      <c r="Q201" s="8">
        <f t="shared" ca="1" si="3"/>
        <v>46173.713128356481</v>
      </c>
      <c r="R201" s="7">
        <f ca="1">DATEDIF(data[[#This Row],[Customer_Since]],data[[#This Row],[Timestamp]],"M")</f>
        <v>52</v>
      </c>
      <c r="S201">
        <f>COUNTIF($H$5:H201,H201)</f>
        <v>24</v>
      </c>
      <c r="T201">
        <f>COUNTIF($L$5:L201,L201)</f>
        <v>39</v>
      </c>
      <c r="U201">
        <f>COUNTIF($M$5:M201,M201)</f>
        <v>41</v>
      </c>
      <c r="V201" s="14">
        <f>EOMONTH(data[[#This Row],[Date]],0)</f>
        <v>45596</v>
      </c>
    </row>
    <row r="202" spans="2:22" ht="15.75" customHeight="1" x14ac:dyDescent="0.3">
      <c r="B202" s="4" t="s">
        <v>372</v>
      </c>
      <c r="C202" s="9">
        <v>45590</v>
      </c>
      <c r="D202" s="4" t="s">
        <v>76</v>
      </c>
      <c r="E202" s="4" t="str">
        <f>RIGHT(data[[#This Row],[Customer_ID]],3)</f>
        <v>024</v>
      </c>
      <c r="F202" s="4" t="s">
        <v>77</v>
      </c>
      <c r="G202" s="4" t="s">
        <v>45</v>
      </c>
      <c r="H202" s="4" t="s">
        <v>46</v>
      </c>
      <c r="I202" s="4" t="s">
        <v>47</v>
      </c>
      <c r="J202" s="4">
        <v>4</v>
      </c>
      <c r="K202" s="4">
        <v>249.99</v>
      </c>
      <c r="L202" s="4" t="s">
        <v>85</v>
      </c>
      <c r="M202" s="4" t="s">
        <v>49</v>
      </c>
      <c r="N202" s="4" t="s">
        <v>55</v>
      </c>
      <c r="O202" s="5">
        <v>45217</v>
      </c>
      <c r="P202" s="4">
        <v>999.96</v>
      </c>
      <c r="Q202" s="8">
        <f t="shared" ca="1" si="3"/>
        <v>46173.713128356481</v>
      </c>
      <c r="R202" s="7">
        <f ca="1">DATEDIF(data[[#This Row],[Customer_Since]],data[[#This Row],[Timestamp]],"M")</f>
        <v>31</v>
      </c>
      <c r="S202">
        <f>COUNTIF($H$5:H202,H202)</f>
        <v>24</v>
      </c>
      <c r="T202">
        <f>COUNTIF($L$5:L202,L202)</f>
        <v>40</v>
      </c>
      <c r="U202">
        <f>COUNTIF($M$5:M202,M202)</f>
        <v>40</v>
      </c>
      <c r="V202" s="14">
        <f>EOMONTH(data[[#This Row],[Date]],0)</f>
        <v>45596</v>
      </c>
    </row>
    <row r="203" spans="2:22" ht="15.75" customHeight="1" x14ac:dyDescent="0.3">
      <c r="B203" s="4" t="s">
        <v>373</v>
      </c>
      <c r="C203" s="9">
        <v>45591</v>
      </c>
      <c r="D203" s="4" t="s">
        <v>280</v>
      </c>
      <c r="E203" s="4" t="str">
        <f>RIGHT(data[[#This Row],[Customer_ID]],3)</f>
        <v>011</v>
      </c>
      <c r="F203" s="4" t="s">
        <v>281</v>
      </c>
      <c r="G203" s="4" t="s">
        <v>89</v>
      </c>
      <c r="H203" s="4" t="s">
        <v>90</v>
      </c>
      <c r="I203" s="4" t="s">
        <v>47</v>
      </c>
      <c r="J203" s="4">
        <v>4</v>
      </c>
      <c r="K203" s="4">
        <v>899.99</v>
      </c>
      <c r="L203" s="4" t="s">
        <v>62</v>
      </c>
      <c r="M203" s="4" t="s">
        <v>49</v>
      </c>
      <c r="N203" s="4" t="s">
        <v>50</v>
      </c>
      <c r="O203" s="5">
        <v>44734</v>
      </c>
      <c r="P203" s="4">
        <v>3599.96</v>
      </c>
      <c r="Q203" s="8">
        <f t="shared" ca="1" si="3"/>
        <v>46173.713128356481</v>
      </c>
      <c r="R203" s="7">
        <f ca="1">DATEDIF(data[[#This Row],[Customer_Since]],data[[#This Row],[Timestamp]],"M")</f>
        <v>47</v>
      </c>
      <c r="S203">
        <f>COUNTIF($H$5:H203,H203)</f>
        <v>19</v>
      </c>
      <c r="T203">
        <f>COUNTIF($L$5:L203,L203)</f>
        <v>37</v>
      </c>
      <c r="U203">
        <f>COUNTIF($M$5:M203,M203)</f>
        <v>41</v>
      </c>
      <c r="V203" s="14">
        <f>EOMONTH(data[[#This Row],[Date]],0)</f>
        <v>45596</v>
      </c>
    </row>
    <row r="204" spans="2:22" ht="15.75" customHeight="1" x14ac:dyDescent="0.3">
      <c r="B204" s="4" t="s">
        <v>374</v>
      </c>
      <c r="C204" s="9">
        <v>45592</v>
      </c>
      <c r="D204" s="4" t="s">
        <v>114</v>
      </c>
      <c r="E204" s="4" t="str">
        <f>RIGHT(data[[#This Row],[Customer_ID]],3)</f>
        <v>025</v>
      </c>
      <c r="F204" s="4" t="s">
        <v>115</v>
      </c>
      <c r="G204" s="4" t="s">
        <v>133</v>
      </c>
      <c r="H204" s="4" t="s">
        <v>134</v>
      </c>
      <c r="I204" s="4" t="s">
        <v>74</v>
      </c>
      <c r="J204" s="4">
        <v>3</v>
      </c>
      <c r="K204" s="4">
        <v>299.99</v>
      </c>
      <c r="L204" s="4" t="s">
        <v>85</v>
      </c>
      <c r="M204" s="4" t="s">
        <v>78</v>
      </c>
      <c r="N204" s="4" t="s">
        <v>64</v>
      </c>
      <c r="O204" s="5">
        <v>44952</v>
      </c>
      <c r="P204" s="4">
        <v>899.97</v>
      </c>
      <c r="Q204" s="8">
        <f t="shared" ca="1" si="3"/>
        <v>46173.713128356481</v>
      </c>
      <c r="R204" s="7">
        <f ca="1">DATEDIF(data[[#This Row],[Customer_Since]],data[[#This Row],[Timestamp]],"M")</f>
        <v>40</v>
      </c>
      <c r="S204">
        <f>COUNTIF($H$5:H204,H204)</f>
        <v>22</v>
      </c>
      <c r="T204">
        <f>COUNTIF($L$5:L204,L204)</f>
        <v>41</v>
      </c>
      <c r="U204">
        <f>COUNTIF($M$5:M204,M204)</f>
        <v>34</v>
      </c>
      <c r="V204" s="14">
        <f>EOMONTH(data[[#This Row],[Date]],0)</f>
        <v>45596</v>
      </c>
    </row>
    <row r="205" spans="2:22" ht="15.75" customHeight="1" x14ac:dyDescent="0.3">
      <c r="B205" s="4" t="s">
        <v>375</v>
      </c>
      <c r="C205" s="9">
        <v>45593</v>
      </c>
      <c r="D205" s="4" t="s">
        <v>321</v>
      </c>
      <c r="E205" s="4" t="str">
        <f>RIGHT(data[[#This Row],[Customer_ID]],3)</f>
        <v>045</v>
      </c>
      <c r="F205" s="4" t="s">
        <v>322</v>
      </c>
      <c r="G205" s="4" t="s">
        <v>108</v>
      </c>
      <c r="H205" s="4" t="s">
        <v>109</v>
      </c>
      <c r="I205" s="4" t="s">
        <v>47</v>
      </c>
      <c r="J205" s="4">
        <v>2</v>
      </c>
      <c r="K205" s="4">
        <v>699.99</v>
      </c>
      <c r="L205" s="4" t="s">
        <v>85</v>
      </c>
      <c r="M205" s="4" t="s">
        <v>49</v>
      </c>
      <c r="N205" s="4" t="s">
        <v>55</v>
      </c>
      <c r="O205" s="5">
        <v>44681</v>
      </c>
      <c r="P205" s="4">
        <v>1399.98</v>
      </c>
      <c r="Q205" s="8">
        <f t="shared" ca="1" si="3"/>
        <v>46173.713128356481</v>
      </c>
      <c r="R205" s="7">
        <f ca="1">DATEDIF(data[[#This Row],[Customer_Since]],data[[#This Row],[Timestamp]],"M")</f>
        <v>49</v>
      </c>
      <c r="S205">
        <f>COUNTIF($H$5:H205,H205)</f>
        <v>24</v>
      </c>
      <c r="T205">
        <f>COUNTIF($L$5:L205,L205)</f>
        <v>42</v>
      </c>
      <c r="U205">
        <f>COUNTIF($M$5:M205,M205)</f>
        <v>42</v>
      </c>
      <c r="V205" s="14">
        <f>EOMONTH(data[[#This Row],[Date]],0)</f>
        <v>45596</v>
      </c>
    </row>
    <row r="206" spans="2:22" ht="15.75" customHeight="1" x14ac:dyDescent="0.3">
      <c r="B206" s="4" t="s">
        <v>376</v>
      </c>
      <c r="C206" s="9">
        <v>45594</v>
      </c>
      <c r="D206" s="4" t="s">
        <v>93</v>
      </c>
      <c r="E206" s="4" t="str">
        <f>RIGHT(data[[#This Row],[Customer_ID]],3)</f>
        <v>026</v>
      </c>
      <c r="F206" s="4" t="s">
        <v>94</v>
      </c>
      <c r="G206" s="4" t="s">
        <v>108</v>
      </c>
      <c r="H206" s="4" t="s">
        <v>109</v>
      </c>
      <c r="I206" s="4" t="s">
        <v>47</v>
      </c>
      <c r="J206" s="4">
        <v>4</v>
      </c>
      <c r="K206" s="4">
        <v>699.99</v>
      </c>
      <c r="L206" s="4" t="s">
        <v>85</v>
      </c>
      <c r="M206" s="4" t="s">
        <v>78</v>
      </c>
      <c r="N206" s="4" t="s">
        <v>55</v>
      </c>
      <c r="O206" s="5">
        <v>44692</v>
      </c>
      <c r="P206" s="4">
        <v>2799.96</v>
      </c>
      <c r="Q206" s="8">
        <f t="shared" ca="1" si="3"/>
        <v>46173.713128356481</v>
      </c>
      <c r="R206" s="7">
        <f ca="1">DATEDIF(data[[#This Row],[Customer_Since]],data[[#This Row],[Timestamp]],"M")</f>
        <v>48</v>
      </c>
      <c r="S206">
        <f>COUNTIF($H$5:H206,H206)</f>
        <v>25</v>
      </c>
      <c r="T206">
        <f>COUNTIF($L$5:L206,L206)</f>
        <v>43</v>
      </c>
      <c r="U206">
        <f>COUNTIF($M$5:M206,M206)</f>
        <v>35</v>
      </c>
      <c r="V206" s="14">
        <f>EOMONTH(data[[#This Row],[Date]],0)</f>
        <v>45596</v>
      </c>
    </row>
    <row r="207" spans="2:22" ht="15.75" customHeight="1" x14ac:dyDescent="0.3">
      <c r="B207" s="4" t="s">
        <v>377</v>
      </c>
      <c r="C207" s="9">
        <v>45595</v>
      </c>
      <c r="D207" s="4" t="s">
        <v>151</v>
      </c>
      <c r="E207" s="4" t="str">
        <f>RIGHT(data[[#This Row],[Customer_ID]],3)</f>
        <v>029</v>
      </c>
      <c r="F207" s="4" t="s">
        <v>152</v>
      </c>
      <c r="G207" s="4" t="s">
        <v>145</v>
      </c>
      <c r="H207" s="4" t="s">
        <v>146</v>
      </c>
      <c r="I207" s="4" t="s">
        <v>47</v>
      </c>
      <c r="J207" s="4">
        <v>2</v>
      </c>
      <c r="K207" s="4">
        <v>89.99</v>
      </c>
      <c r="L207" s="4" t="s">
        <v>85</v>
      </c>
      <c r="M207" s="4" t="s">
        <v>63</v>
      </c>
      <c r="N207" s="4" t="s">
        <v>50</v>
      </c>
      <c r="O207" s="5">
        <v>44777</v>
      </c>
      <c r="P207" s="4">
        <v>179.98</v>
      </c>
      <c r="Q207" s="8">
        <f t="shared" ca="1" si="3"/>
        <v>46173.713128356481</v>
      </c>
      <c r="R207" s="7">
        <f ca="1">DATEDIF(data[[#This Row],[Customer_Since]],data[[#This Row],[Timestamp]],"M")</f>
        <v>45</v>
      </c>
      <c r="S207">
        <f>COUNTIF($H$5:H207,H207)</f>
        <v>25</v>
      </c>
      <c r="T207">
        <f>COUNTIF($L$5:L207,L207)</f>
        <v>44</v>
      </c>
      <c r="U207">
        <f>COUNTIF($M$5:M207,M207)</f>
        <v>36</v>
      </c>
      <c r="V207" s="14">
        <f>EOMONTH(data[[#This Row],[Date]],0)</f>
        <v>45596</v>
      </c>
    </row>
    <row r="208" spans="2:22" ht="15.75" customHeight="1" x14ac:dyDescent="0.3">
      <c r="B208" s="4" t="s">
        <v>378</v>
      </c>
      <c r="C208" s="9">
        <v>45596</v>
      </c>
      <c r="D208" s="4" t="s">
        <v>70</v>
      </c>
      <c r="E208" s="4" t="str">
        <f>RIGHT(data[[#This Row],[Customer_ID]],3)</f>
        <v>003</v>
      </c>
      <c r="F208" s="4" t="s">
        <v>71</v>
      </c>
      <c r="G208" s="4" t="s">
        <v>145</v>
      </c>
      <c r="H208" s="4" t="s">
        <v>146</v>
      </c>
      <c r="I208" s="4" t="s">
        <v>47</v>
      </c>
      <c r="J208" s="4">
        <v>3</v>
      </c>
      <c r="K208" s="4">
        <v>89.99</v>
      </c>
      <c r="L208" s="4" t="s">
        <v>85</v>
      </c>
      <c r="M208" s="4" t="s">
        <v>63</v>
      </c>
      <c r="N208" s="4" t="s">
        <v>55</v>
      </c>
      <c r="O208" s="5">
        <v>45307</v>
      </c>
      <c r="P208" s="4">
        <v>269.97000000000003</v>
      </c>
      <c r="Q208" s="8">
        <f t="shared" ca="1" si="3"/>
        <v>46173.713128356481</v>
      </c>
      <c r="R208" s="7">
        <f ca="1">DATEDIF(data[[#This Row],[Customer_Since]],data[[#This Row],[Timestamp]],"M")</f>
        <v>28</v>
      </c>
      <c r="S208">
        <f>COUNTIF($H$5:H208,H208)</f>
        <v>26</v>
      </c>
      <c r="T208">
        <f>COUNTIF($L$5:L208,L208)</f>
        <v>45</v>
      </c>
      <c r="U208">
        <f>COUNTIF($M$5:M208,M208)</f>
        <v>37</v>
      </c>
      <c r="V208" s="14">
        <f>EOMONTH(data[[#This Row],[Date]],0)</f>
        <v>45596</v>
      </c>
    </row>
    <row r="209" spans="2:22" ht="15.75" customHeight="1" x14ac:dyDescent="0.3">
      <c r="B209" s="4" t="s">
        <v>379</v>
      </c>
      <c r="C209" s="9">
        <v>45597</v>
      </c>
      <c r="D209" s="4" t="s">
        <v>353</v>
      </c>
      <c r="E209" s="4" t="str">
        <f>RIGHT(data[[#This Row],[Customer_ID]],3)</f>
        <v>037</v>
      </c>
      <c r="F209" s="4" t="s">
        <v>354</v>
      </c>
      <c r="G209" s="4" t="s">
        <v>59</v>
      </c>
      <c r="H209" s="4" t="s">
        <v>60</v>
      </c>
      <c r="I209" s="4" t="s">
        <v>61</v>
      </c>
      <c r="J209" s="4">
        <v>1</v>
      </c>
      <c r="K209" s="4">
        <v>59.99</v>
      </c>
      <c r="L209" s="4" t="s">
        <v>85</v>
      </c>
      <c r="M209" s="4" t="s">
        <v>49</v>
      </c>
      <c r="N209" s="4" t="s">
        <v>64</v>
      </c>
      <c r="O209" s="5">
        <v>45045</v>
      </c>
      <c r="P209" s="4">
        <v>59.99</v>
      </c>
      <c r="Q209" s="8">
        <f t="shared" ca="1" si="3"/>
        <v>46173.713128356481</v>
      </c>
      <c r="R209" s="7">
        <f ca="1">DATEDIF(data[[#This Row],[Customer_Since]],data[[#This Row],[Timestamp]],"M")</f>
        <v>37</v>
      </c>
      <c r="S209">
        <f>COUNTIF($H$5:H209,H209)</f>
        <v>25</v>
      </c>
      <c r="T209">
        <f>COUNTIF($L$5:L209,L209)</f>
        <v>46</v>
      </c>
      <c r="U209">
        <f>COUNTIF($M$5:M209,M209)</f>
        <v>43</v>
      </c>
      <c r="V209" s="14">
        <f>EOMONTH(data[[#This Row],[Date]],0)</f>
        <v>45626</v>
      </c>
    </row>
    <row r="210" spans="2:22" ht="15.75" customHeight="1" x14ac:dyDescent="0.3">
      <c r="B210" s="4" t="s">
        <v>380</v>
      </c>
      <c r="C210" s="9">
        <v>45598</v>
      </c>
      <c r="D210" s="4" t="s">
        <v>274</v>
      </c>
      <c r="E210" s="4" t="str">
        <f>RIGHT(data[[#This Row],[Customer_ID]],3)</f>
        <v>042</v>
      </c>
      <c r="F210" s="4" t="s">
        <v>275</v>
      </c>
      <c r="G210" s="4" t="s">
        <v>72</v>
      </c>
      <c r="H210" s="4" t="s">
        <v>73</v>
      </c>
      <c r="I210" s="4" t="s">
        <v>74</v>
      </c>
      <c r="J210" s="4">
        <v>3</v>
      </c>
      <c r="K210" s="4">
        <v>149.99</v>
      </c>
      <c r="L210" s="4" t="s">
        <v>85</v>
      </c>
      <c r="M210" s="4" t="s">
        <v>68</v>
      </c>
      <c r="N210" s="4" t="s">
        <v>55</v>
      </c>
      <c r="O210" s="5">
        <v>44564</v>
      </c>
      <c r="P210" s="4">
        <v>449.97</v>
      </c>
      <c r="Q210" s="8">
        <f t="shared" ca="1" si="3"/>
        <v>46173.713128356481</v>
      </c>
      <c r="R210" s="7">
        <f ca="1">DATEDIF(data[[#This Row],[Customer_Since]],data[[#This Row],[Timestamp]],"M")</f>
        <v>52</v>
      </c>
      <c r="S210">
        <f>COUNTIF($H$5:H210,H210)</f>
        <v>26</v>
      </c>
      <c r="T210">
        <f>COUNTIF($L$5:L210,L210)</f>
        <v>47</v>
      </c>
      <c r="U210">
        <f>COUNTIF($M$5:M210,M210)</f>
        <v>50</v>
      </c>
      <c r="V210" s="14">
        <f>EOMONTH(data[[#This Row],[Date]],0)</f>
        <v>45626</v>
      </c>
    </row>
    <row r="211" spans="2:22" ht="15.75" customHeight="1" x14ac:dyDescent="0.3">
      <c r="B211" s="4" t="s">
        <v>381</v>
      </c>
      <c r="C211" s="9">
        <v>45599</v>
      </c>
      <c r="D211" s="4" t="s">
        <v>121</v>
      </c>
      <c r="E211" s="4" t="str">
        <f>RIGHT(data[[#This Row],[Customer_ID]],3)</f>
        <v>048</v>
      </c>
      <c r="F211" s="4" t="s">
        <v>122</v>
      </c>
      <c r="G211" s="4" t="s">
        <v>133</v>
      </c>
      <c r="H211" s="4" t="s">
        <v>134</v>
      </c>
      <c r="I211" s="4" t="s">
        <v>74</v>
      </c>
      <c r="J211" s="4">
        <v>5</v>
      </c>
      <c r="K211" s="4">
        <v>299.99</v>
      </c>
      <c r="L211" s="4" t="s">
        <v>54</v>
      </c>
      <c r="M211" s="4" t="s">
        <v>63</v>
      </c>
      <c r="N211" s="4" t="s">
        <v>50</v>
      </c>
      <c r="O211" s="5">
        <v>44959</v>
      </c>
      <c r="P211" s="4">
        <v>1499.95</v>
      </c>
      <c r="Q211" s="8">
        <f t="shared" ca="1" si="3"/>
        <v>46173.713128356481</v>
      </c>
      <c r="R211" s="7">
        <f ca="1">DATEDIF(data[[#This Row],[Customer_Since]],data[[#This Row],[Timestamp]],"M")</f>
        <v>39</v>
      </c>
      <c r="S211">
        <f>COUNTIF($H$5:H211,H211)</f>
        <v>23</v>
      </c>
      <c r="T211">
        <f>COUNTIF($L$5:L211,L211)</f>
        <v>63</v>
      </c>
      <c r="U211">
        <f>COUNTIF($M$5:M211,M211)</f>
        <v>38</v>
      </c>
      <c r="V211" s="14">
        <f>EOMONTH(data[[#This Row],[Date]],0)</f>
        <v>45626</v>
      </c>
    </row>
    <row r="212" spans="2:22" ht="15.75" customHeight="1" x14ac:dyDescent="0.3">
      <c r="B212" s="4" t="s">
        <v>382</v>
      </c>
      <c r="C212" s="9">
        <v>45600</v>
      </c>
      <c r="D212" s="4" t="s">
        <v>178</v>
      </c>
      <c r="E212" s="4" t="str">
        <f>RIGHT(data[[#This Row],[Customer_ID]],3)</f>
        <v>040</v>
      </c>
      <c r="F212" s="4" t="s">
        <v>179</v>
      </c>
      <c r="G212" s="4" t="s">
        <v>59</v>
      </c>
      <c r="H212" s="4" t="s">
        <v>60</v>
      </c>
      <c r="I212" s="4" t="s">
        <v>61</v>
      </c>
      <c r="J212" s="4">
        <v>5</v>
      </c>
      <c r="K212" s="4">
        <v>59.99</v>
      </c>
      <c r="L212" s="4" t="s">
        <v>85</v>
      </c>
      <c r="M212" s="4" t="s">
        <v>49</v>
      </c>
      <c r="N212" s="4" t="s">
        <v>64</v>
      </c>
      <c r="O212" s="5">
        <v>45177</v>
      </c>
      <c r="P212" s="4">
        <v>299.95</v>
      </c>
      <c r="Q212" s="8">
        <f t="shared" ca="1" si="3"/>
        <v>46173.713128356481</v>
      </c>
      <c r="R212" s="7">
        <f ca="1">DATEDIF(data[[#This Row],[Customer_Since]],data[[#This Row],[Timestamp]],"M")</f>
        <v>32</v>
      </c>
      <c r="S212">
        <f>COUNTIF($H$5:H212,H212)</f>
        <v>26</v>
      </c>
      <c r="T212">
        <f>COUNTIF($L$5:L212,L212)</f>
        <v>48</v>
      </c>
      <c r="U212">
        <f>COUNTIF($M$5:M212,M212)</f>
        <v>44</v>
      </c>
      <c r="V212" s="14">
        <f>EOMONTH(data[[#This Row],[Date]],0)</f>
        <v>45626</v>
      </c>
    </row>
    <row r="213" spans="2:22" ht="15.75" customHeight="1" x14ac:dyDescent="0.3">
      <c r="B213" s="4" t="s">
        <v>383</v>
      </c>
      <c r="C213" s="9">
        <v>45601</v>
      </c>
      <c r="D213" s="4" t="s">
        <v>136</v>
      </c>
      <c r="E213" s="4" t="str">
        <f>RIGHT(data[[#This Row],[Customer_ID]],3)</f>
        <v>036</v>
      </c>
      <c r="F213" s="4" t="s">
        <v>137</v>
      </c>
      <c r="G213" s="4" t="s">
        <v>142</v>
      </c>
      <c r="H213" s="4" t="s">
        <v>143</v>
      </c>
      <c r="I213" s="4" t="s">
        <v>61</v>
      </c>
      <c r="J213" s="4">
        <v>3</v>
      </c>
      <c r="K213" s="4">
        <v>79.989999999999995</v>
      </c>
      <c r="L213" s="4" t="s">
        <v>48</v>
      </c>
      <c r="M213" s="4" t="s">
        <v>91</v>
      </c>
      <c r="N213" s="4" t="s">
        <v>55</v>
      </c>
      <c r="O213" s="5">
        <v>44436</v>
      </c>
      <c r="P213" s="4">
        <v>239.97</v>
      </c>
      <c r="Q213" s="8">
        <f t="shared" ca="1" si="3"/>
        <v>46173.713128356481</v>
      </c>
      <c r="R213" s="7">
        <f ca="1">DATEDIF(data[[#This Row],[Customer_Since]],data[[#This Row],[Timestamp]],"M")</f>
        <v>57</v>
      </c>
      <c r="S213">
        <f>COUNTIF($H$5:H213,H213)</f>
        <v>12</v>
      </c>
      <c r="T213">
        <f>COUNTIF($L$5:L213,L213)</f>
        <v>61</v>
      </c>
      <c r="U213">
        <f>COUNTIF($M$5:M213,M213)</f>
        <v>42</v>
      </c>
      <c r="V213" s="14">
        <f>EOMONTH(data[[#This Row],[Date]],0)</f>
        <v>45626</v>
      </c>
    </row>
    <row r="214" spans="2:22" ht="15.75" customHeight="1" x14ac:dyDescent="0.3">
      <c r="B214" s="4" t="s">
        <v>384</v>
      </c>
      <c r="C214" s="9">
        <v>45602</v>
      </c>
      <c r="D214" s="4" t="s">
        <v>57</v>
      </c>
      <c r="E214" s="4" t="str">
        <f>RIGHT(data[[#This Row],[Customer_ID]],3)</f>
        <v>021</v>
      </c>
      <c r="F214" s="4" t="s">
        <v>58</v>
      </c>
      <c r="G214" s="4" t="s">
        <v>154</v>
      </c>
      <c r="H214" s="4" t="s">
        <v>155</v>
      </c>
      <c r="I214" s="4" t="s">
        <v>74</v>
      </c>
      <c r="J214" s="4">
        <v>3</v>
      </c>
      <c r="K214" s="4">
        <v>199.99</v>
      </c>
      <c r="L214" s="4" t="s">
        <v>48</v>
      </c>
      <c r="M214" s="4" t="s">
        <v>49</v>
      </c>
      <c r="N214" s="4" t="s">
        <v>50</v>
      </c>
      <c r="O214" s="5">
        <v>44735</v>
      </c>
      <c r="P214" s="4">
        <v>599.97</v>
      </c>
      <c r="Q214" s="8">
        <f t="shared" ca="1" si="3"/>
        <v>46173.713128356481</v>
      </c>
      <c r="R214" s="7">
        <f ca="1">DATEDIF(data[[#This Row],[Customer_Since]],data[[#This Row],[Timestamp]],"M")</f>
        <v>47</v>
      </c>
      <c r="S214">
        <f>COUNTIF($H$5:H214,H214)</f>
        <v>13</v>
      </c>
      <c r="T214">
        <f>COUNTIF($L$5:L214,L214)</f>
        <v>62</v>
      </c>
      <c r="U214">
        <f>COUNTIF($M$5:M214,M214)</f>
        <v>45</v>
      </c>
      <c r="V214" s="14">
        <f>EOMONTH(data[[#This Row],[Date]],0)</f>
        <v>45626</v>
      </c>
    </row>
    <row r="215" spans="2:22" ht="15.75" customHeight="1" x14ac:dyDescent="0.3">
      <c r="B215" s="4" t="s">
        <v>385</v>
      </c>
      <c r="C215" s="9">
        <v>45603</v>
      </c>
      <c r="D215" s="4" t="s">
        <v>43</v>
      </c>
      <c r="E215" s="4" t="str">
        <f>RIGHT(data[[#This Row],[Customer_ID]],3)</f>
        <v>023</v>
      </c>
      <c r="F215" s="4" t="s">
        <v>44</v>
      </c>
      <c r="G215" s="4" t="s">
        <v>145</v>
      </c>
      <c r="H215" s="4" t="s">
        <v>146</v>
      </c>
      <c r="I215" s="4" t="s">
        <v>47</v>
      </c>
      <c r="J215" s="4">
        <v>2</v>
      </c>
      <c r="K215" s="4">
        <v>89.99</v>
      </c>
      <c r="L215" s="4" t="s">
        <v>62</v>
      </c>
      <c r="M215" s="4" t="s">
        <v>49</v>
      </c>
      <c r="N215" s="4" t="s">
        <v>50</v>
      </c>
      <c r="O215" s="5">
        <v>45257</v>
      </c>
      <c r="P215" s="4">
        <v>179.98</v>
      </c>
      <c r="Q215" s="8">
        <f t="shared" ca="1" si="3"/>
        <v>46173.713128356481</v>
      </c>
      <c r="R215" s="7">
        <f ca="1">DATEDIF(data[[#This Row],[Customer_Since]],data[[#This Row],[Timestamp]],"M")</f>
        <v>30</v>
      </c>
      <c r="S215">
        <f>COUNTIF($H$5:H215,H215)</f>
        <v>27</v>
      </c>
      <c r="T215">
        <f>COUNTIF($L$5:L215,L215)</f>
        <v>38</v>
      </c>
      <c r="U215">
        <f>COUNTIF($M$5:M215,M215)</f>
        <v>46</v>
      </c>
      <c r="V215" s="14">
        <f>EOMONTH(data[[#This Row],[Date]],0)</f>
        <v>45626</v>
      </c>
    </row>
    <row r="216" spans="2:22" ht="15.75" customHeight="1" x14ac:dyDescent="0.3">
      <c r="B216" s="4" t="s">
        <v>386</v>
      </c>
      <c r="C216" s="9">
        <v>45604</v>
      </c>
      <c r="D216" s="4" t="s">
        <v>287</v>
      </c>
      <c r="E216" s="4" t="str">
        <f>RIGHT(data[[#This Row],[Customer_ID]],3)</f>
        <v>015</v>
      </c>
      <c r="F216" s="4" t="s">
        <v>288</v>
      </c>
      <c r="G216" s="4" t="s">
        <v>72</v>
      </c>
      <c r="H216" s="4" t="s">
        <v>73</v>
      </c>
      <c r="I216" s="4" t="s">
        <v>74</v>
      </c>
      <c r="J216" s="4">
        <v>2</v>
      </c>
      <c r="K216" s="4">
        <v>149.99</v>
      </c>
      <c r="L216" s="4" t="s">
        <v>48</v>
      </c>
      <c r="M216" s="4" t="s">
        <v>63</v>
      </c>
      <c r="N216" s="4" t="s">
        <v>55</v>
      </c>
      <c r="O216" s="5">
        <v>44728</v>
      </c>
      <c r="P216" s="4">
        <v>299.98</v>
      </c>
      <c r="Q216" s="8">
        <f t="shared" ca="1" si="3"/>
        <v>46173.713128356481</v>
      </c>
      <c r="R216" s="7">
        <f ca="1">DATEDIF(data[[#This Row],[Customer_Since]],data[[#This Row],[Timestamp]],"M")</f>
        <v>47</v>
      </c>
      <c r="S216">
        <f>COUNTIF($H$5:H216,H216)</f>
        <v>27</v>
      </c>
      <c r="T216">
        <f>COUNTIF($L$5:L216,L216)</f>
        <v>63</v>
      </c>
      <c r="U216">
        <f>COUNTIF($M$5:M216,M216)</f>
        <v>39</v>
      </c>
      <c r="V216" s="14">
        <f>EOMONTH(data[[#This Row],[Date]],0)</f>
        <v>45626</v>
      </c>
    </row>
    <row r="217" spans="2:22" ht="15.75" customHeight="1" x14ac:dyDescent="0.3">
      <c r="B217" s="4" t="s">
        <v>387</v>
      </c>
      <c r="C217" s="9">
        <v>45605</v>
      </c>
      <c r="D217" s="4" t="s">
        <v>151</v>
      </c>
      <c r="E217" s="4" t="str">
        <f>RIGHT(data[[#This Row],[Customer_ID]],3)</f>
        <v>029</v>
      </c>
      <c r="F217" s="4" t="s">
        <v>152</v>
      </c>
      <c r="G217" s="4" t="s">
        <v>108</v>
      </c>
      <c r="H217" s="4" t="s">
        <v>109</v>
      </c>
      <c r="I217" s="4" t="s">
        <v>47</v>
      </c>
      <c r="J217" s="4">
        <v>5</v>
      </c>
      <c r="K217" s="4">
        <v>699.99</v>
      </c>
      <c r="L217" s="4" t="s">
        <v>62</v>
      </c>
      <c r="M217" s="4" t="s">
        <v>63</v>
      </c>
      <c r="N217" s="4" t="s">
        <v>55</v>
      </c>
      <c r="O217" s="5">
        <v>45352</v>
      </c>
      <c r="P217" s="4">
        <v>3499.95</v>
      </c>
      <c r="Q217" s="8">
        <f t="shared" ca="1" si="3"/>
        <v>46173.713128356481</v>
      </c>
      <c r="R217" s="7">
        <f ca="1">DATEDIF(data[[#This Row],[Customer_Since]],data[[#This Row],[Timestamp]],"M")</f>
        <v>26</v>
      </c>
      <c r="S217">
        <f>COUNTIF($H$5:H217,H217)</f>
        <v>26</v>
      </c>
      <c r="T217">
        <f>COUNTIF($L$5:L217,L217)</f>
        <v>39</v>
      </c>
      <c r="U217">
        <f>COUNTIF($M$5:M217,M217)</f>
        <v>40</v>
      </c>
      <c r="V217" s="14">
        <f>EOMONTH(data[[#This Row],[Date]],0)</f>
        <v>45626</v>
      </c>
    </row>
    <row r="218" spans="2:22" ht="15.75" customHeight="1" x14ac:dyDescent="0.3">
      <c r="B218" s="4" t="s">
        <v>388</v>
      </c>
      <c r="C218" s="9">
        <v>45606</v>
      </c>
      <c r="D218" s="4" t="s">
        <v>70</v>
      </c>
      <c r="E218" s="4" t="str">
        <f>RIGHT(data[[#This Row],[Customer_ID]],3)</f>
        <v>003</v>
      </c>
      <c r="F218" s="4" t="s">
        <v>71</v>
      </c>
      <c r="G218" s="4" t="s">
        <v>72</v>
      </c>
      <c r="H218" s="4" t="s">
        <v>73</v>
      </c>
      <c r="I218" s="4" t="s">
        <v>74</v>
      </c>
      <c r="J218" s="4">
        <v>3</v>
      </c>
      <c r="K218" s="4">
        <v>149.99</v>
      </c>
      <c r="L218" s="4" t="s">
        <v>62</v>
      </c>
      <c r="M218" s="4" t="s">
        <v>49</v>
      </c>
      <c r="N218" s="4" t="s">
        <v>64</v>
      </c>
      <c r="O218" s="5">
        <v>44633</v>
      </c>
      <c r="P218" s="4">
        <v>449.97</v>
      </c>
      <c r="Q218" s="8">
        <f t="shared" ca="1" si="3"/>
        <v>46173.713128356481</v>
      </c>
      <c r="R218" s="7">
        <f ca="1">DATEDIF(data[[#This Row],[Customer_Since]],data[[#This Row],[Timestamp]],"M")</f>
        <v>50</v>
      </c>
      <c r="S218">
        <f>COUNTIF($H$5:H218,H218)</f>
        <v>28</v>
      </c>
      <c r="T218">
        <f>COUNTIF($L$5:L218,L218)</f>
        <v>40</v>
      </c>
      <c r="U218">
        <f>COUNTIF($M$5:M218,M218)</f>
        <v>47</v>
      </c>
      <c r="V218" s="14">
        <f>EOMONTH(data[[#This Row],[Date]],0)</f>
        <v>45626</v>
      </c>
    </row>
    <row r="219" spans="2:22" ht="15.75" customHeight="1" x14ac:dyDescent="0.3">
      <c r="B219" s="4" t="s">
        <v>389</v>
      </c>
      <c r="C219" s="9">
        <v>45607</v>
      </c>
      <c r="D219" s="4" t="s">
        <v>124</v>
      </c>
      <c r="E219" s="4" t="str">
        <f>RIGHT(data[[#This Row],[Customer_ID]],3)</f>
        <v>018</v>
      </c>
      <c r="F219" s="4" t="s">
        <v>125</v>
      </c>
      <c r="G219" s="4" t="s">
        <v>89</v>
      </c>
      <c r="H219" s="4" t="s">
        <v>90</v>
      </c>
      <c r="I219" s="4" t="s">
        <v>47</v>
      </c>
      <c r="J219" s="4">
        <v>3</v>
      </c>
      <c r="K219" s="4">
        <v>899.99</v>
      </c>
      <c r="L219" s="4" t="s">
        <v>48</v>
      </c>
      <c r="M219" s="4" t="s">
        <v>91</v>
      </c>
      <c r="N219" s="4" t="s">
        <v>64</v>
      </c>
      <c r="O219" s="5">
        <v>44613</v>
      </c>
      <c r="P219" s="4">
        <v>2699.97</v>
      </c>
      <c r="Q219" s="8">
        <f t="shared" ca="1" si="3"/>
        <v>46173.713128356481</v>
      </c>
      <c r="R219" s="7">
        <f ca="1">DATEDIF(data[[#This Row],[Customer_Since]],data[[#This Row],[Timestamp]],"M")</f>
        <v>51</v>
      </c>
      <c r="S219">
        <f>COUNTIF($H$5:H219,H219)</f>
        <v>20</v>
      </c>
      <c r="T219">
        <f>COUNTIF($L$5:L219,L219)</f>
        <v>64</v>
      </c>
      <c r="U219">
        <f>COUNTIF($M$5:M219,M219)</f>
        <v>43</v>
      </c>
      <c r="V219" s="14">
        <f>EOMONTH(data[[#This Row],[Date]],0)</f>
        <v>45626</v>
      </c>
    </row>
    <row r="220" spans="2:22" ht="15.75" customHeight="1" x14ac:dyDescent="0.3">
      <c r="B220" s="4" t="s">
        <v>390</v>
      </c>
      <c r="C220" s="9">
        <v>45608</v>
      </c>
      <c r="D220" s="4" t="s">
        <v>220</v>
      </c>
      <c r="E220" s="4" t="str">
        <f>RIGHT(data[[#This Row],[Customer_ID]],3)</f>
        <v>033</v>
      </c>
      <c r="F220" s="4" t="s">
        <v>221</v>
      </c>
      <c r="G220" s="4" t="s">
        <v>154</v>
      </c>
      <c r="H220" s="4" t="s">
        <v>155</v>
      </c>
      <c r="I220" s="4" t="s">
        <v>74</v>
      </c>
      <c r="J220" s="4">
        <v>3</v>
      </c>
      <c r="K220" s="4">
        <v>199.99</v>
      </c>
      <c r="L220" s="4" t="s">
        <v>48</v>
      </c>
      <c r="M220" s="4" t="s">
        <v>78</v>
      </c>
      <c r="N220" s="4" t="s">
        <v>55</v>
      </c>
      <c r="O220" s="5">
        <v>44823</v>
      </c>
      <c r="P220" s="4">
        <v>599.97</v>
      </c>
      <c r="Q220" s="8">
        <f t="shared" ca="1" si="3"/>
        <v>46173.713128356481</v>
      </c>
      <c r="R220" s="7">
        <f ca="1">DATEDIF(data[[#This Row],[Customer_Since]],data[[#This Row],[Timestamp]],"M")</f>
        <v>44</v>
      </c>
      <c r="S220">
        <f>COUNTIF($H$5:H220,H220)</f>
        <v>14</v>
      </c>
      <c r="T220">
        <f>COUNTIF($L$5:L220,L220)</f>
        <v>65</v>
      </c>
      <c r="U220">
        <f>COUNTIF($M$5:M220,M220)</f>
        <v>36</v>
      </c>
      <c r="V220" s="14">
        <f>EOMONTH(data[[#This Row],[Date]],0)</f>
        <v>45626</v>
      </c>
    </row>
    <row r="221" spans="2:22" ht="15.75" customHeight="1" x14ac:dyDescent="0.3">
      <c r="B221" s="4" t="s">
        <v>391</v>
      </c>
      <c r="C221" s="9">
        <v>45609</v>
      </c>
      <c r="D221" s="4" t="s">
        <v>83</v>
      </c>
      <c r="E221" s="4" t="str">
        <f>RIGHT(data[[#This Row],[Customer_ID]],3)</f>
        <v>017</v>
      </c>
      <c r="F221" s="4" t="s">
        <v>84</v>
      </c>
      <c r="G221" s="4" t="s">
        <v>133</v>
      </c>
      <c r="H221" s="4" t="s">
        <v>134</v>
      </c>
      <c r="I221" s="4" t="s">
        <v>74</v>
      </c>
      <c r="J221" s="4">
        <v>5</v>
      </c>
      <c r="K221" s="4">
        <v>299.99</v>
      </c>
      <c r="L221" s="4" t="s">
        <v>48</v>
      </c>
      <c r="M221" s="4" t="s">
        <v>78</v>
      </c>
      <c r="N221" s="4" t="s">
        <v>64</v>
      </c>
      <c r="O221" s="5">
        <v>45142</v>
      </c>
      <c r="P221" s="4">
        <v>1499.95</v>
      </c>
      <c r="Q221" s="8">
        <f t="shared" ca="1" si="3"/>
        <v>46173.713128356481</v>
      </c>
      <c r="R221" s="7">
        <f ca="1">DATEDIF(data[[#This Row],[Customer_Since]],data[[#This Row],[Timestamp]],"M")</f>
        <v>33</v>
      </c>
      <c r="S221">
        <f>COUNTIF($H$5:H221,H221)</f>
        <v>24</v>
      </c>
      <c r="T221">
        <f>COUNTIF($L$5:L221,L221)</f>
        <v>66</v>
      </c>
      <c r="U221">
        <f>COUNTIF($M$5:M221,M221)</f>
        <v>37</v>
      </c>
      <c r="V221" s="14">
        <f>EOMONTH(data[[#This Row],[Date]],0)</f>
        <v>45626</v>
      </c>
    </row>
    <row r="222" spans="2:22" ht="15.75" customHeight="1" x14ac:dyDescent="0.3">
      <c r="B222" s="4" t="s">
        <v>392</v>
      </c>
      <c r="C222" s="9">
        <v>45610</v>
      </c>
      <c r="D222" s="4" t="s">
        <v>178</v>
      </c>
      <c r="E222" s="4" t="str">
        <f>RIGHT(data[[#This Row],[Customer_ID]],3)</f>
        <v>040</v>
      </c>
      <c r="F222" s="4" t="s">
        <v>179</v>
      </c>
      <c r="G222" s="4" t="s">
        <v>108</v>
      </c>
      <c r="H222" s="4" t="s">
        <v>109</v>
      </c>
      <c r="I222" s="4" t="s">
        <v>47</v>
      </c>
      <c r="J222" s="4">
        <v>1</v>
      </c>
      <c r="K222" s="4">
        <v>699.99</v>
      </c>
      <c r="L222" s="4" t="s">
        <v>62</v>
      </c>
      <c r="M222" s="4" t="s">
        <v>78</v>
      </c>
      <c r="N222" s="4" t="s">
        <v>50</v>
      </c>
      <c r="O222" s="5">
        <v>44934</v>
      </c>
      <c r="P222" s="4">
        <v>699.99</v>
      </c>
      <c r="Q222" s="8">
        <f t="shared" ca="1" si="3"/>
        <v>46173.713128356481</v>
      </c>
      <c r="R222" s="7">
        <f ca="1">DATEDIF(data[[#This Row],[Customer_Since]],data[[#This Row],[Timestamp]],"M")</f>
        <v>40</v>
      </c>
      <c r="S222">
        <f>COUNTIF($H$5:H222,H222)</f>
        <v>27</v>
      </c>
      <c r="T222">
        <f>COUNTIF($L$5:L222,L222)</f>
        <v>41</v>
      </c>
      <c r="U222">
        <f>COUNTIF($M$5:M222,M222)</f>
        <v>38</v>
      </c>
      <c r="V222" s="14">
        <f>EOMONTH(data[[#This Row],[Date]],0)</f>
        <v>45626</v>
      </c>
    </row>
    <row r="223" spans="2:22" ht="15.75" customHeight="1" x14ac:dyDescent="0.3">
      <c r="B223" s="4" t="s">
        <v>393</v>
      </c>
      <c r="C223" s="9">
        <v>45611</v>
      </c>
      <c r="D223" s="4" t="s">
        <v>274</v>
      </c>
      <c r="E223" s="4" t="str">
        <f>RIGHT(data[[#This Row],[Customer_ID]],3)</f>
        <v>042</v>
      </c>
      <c r="F223" s="4" t="s">
        <v>275</v>
      </c>
      <c r="G223" s="4" t="s">
        <v>108</v>
      </c>
      <c r="H223" s="4" t="s">
        <v>109</v>
      </c>
      <c r="I223" s="4" t="s">
        <v>47</v>
      </c>
      <c r="J223" s="4">
        <v>1</v>
      </c>
      <c r="K223" s="4">
        <v>699.99</v>
      </c>
      <c r="L223" s="4" t="s">
        <v>48</v>
      </c>
      <c r="M223" s="4" t="s">
        <v>68</v>
      </c>
      <c r="N223" s="4" t="s">
        <v>55</v>
      </c>
      <c r="O223" s="5">
        <v>44583</v>
      </c>
      <c r="P223" s="4">
        <v>699.99</v>
      </c>
      <c r="Q223" s="8">
        <f t="shared" ca="1" si="3"/>
        <v>46173.713128356481</v>
      </c>
      <c r="R223" s="7">
        <f ca="1">DATEDIF(data[[#This Row],[Customer_Since]],data[[#This Row],[Timestamp]],"M")</f>
        <v>52</v>
      </c>
      <c r="S223">
        <f>COUNTIF($H$5:H223,H223)</f>
        <v>28</v>
      </c>
      <c r="T223">
        <f>COUNTIF($L$5:L223,L223)</f>
        <v>67</v>
      </c>
      <c r="U223">
        <f>COUNTIF($M$5:M223,M223)</f>
        <v>51</v>
      </c>
      <c r="V223" s="14">
        <f>EOMONTH(data[[#This Row],[Date]],0)</f>
        <v>45626</v>
      </c>
    </row>
    <row r="224" spans="2:22" ht="15.75" customHeight="1" x14ac:dyDescent="0.3">
      <c r="B224" s="4" t="s">
        <v>394</v>
      </c>
      <c r="C224" s="9">
        <v>45612</v>
      </c>
      <c r="D224" s="4" t="s">
        <v>353</v>
      </c>
      <c r="E224" s="4" t="str">
        <f>RIGHT(data[[#This Row],[Customer_ID]],3)</f>
        <v>037</v>
      </c>
      <c r="F224" s="4" t="s">
        <v>354</v>
      </c>
      <c r="G224" s="4" t="s">
        <v>72</v>
      </c>
      <c r="H224" s="4" t="s">
        <v>73</v>
      </c>
      <c r="I224" s="4" t="s">
        <v>74</v>
      </c>
      <c r="J224" s="4">
        <v>4</v>
      </c>
      <c r="K224" s="4">
        <v>149.99</v>
      </c>
      <c r="L224" s="4" t="s">
        <v>62</v>
      </c>
      <c r="M224" s="4" t="s">
        <v>68</v>
      </c>
      <c r="N224" s="4" t="s">
        <v>55</v>
      </c>
      <c r="O224" s="5">
        <v>44412</v>
      </c>
      <c r="P224" s="4">
        <v>599.96</v>
      </c>
      <c r="Q224" s="8">
        <f t="shared" ca="1" si="3"/>
        <v>46173.713128356481</v>
      </c>
      <c r="R224" s="7">
        <f ca="1">DATEDIF(data[[#This Row],[Customer_Since]],data[[#This Row],[Timestamp]],"M")</f>
        <v>57</v>
      </c>
      <c r="S224">
        <f>COUNTIF($H$5:H224,H224)</f>
        <v>29</v>
      </c>
      <c r="T224">
        <f>COUNTIF($L$5:L224,L224)</f>
        <v>42</v>
      </c>
      <c r="U224">
        <f>COUNTIF($M$5:M224,M224)</f>
        <v>52</v>
      </c>
      <c r="V224" s="14">
        <f>EOMONTH(data[[#This Row],[Date]],0)</f>
        <v>45626</v>
      </c>
    </row>
    <row r="225" spans="2:22" ht="15.75" customHeight="1" x14ac:dyDescent="0.3">
      <c r="B225" s="4" t="s">
        <v>395</v>
      </c>
      <c r="C225" s="9">
        <v>45613</v>
      </c>
      <c r="D225" s="4" t="s">
        <v>239</v>
      </c>
      <c r="E225" s="4" t="str">
        <f>RIGHT(data[[#This Row],[Customer_ID]],3)</f>
        <v>016</v>
      </c>
      <c r="F225" s="4" t="s">
        <v>240</v>
      </c>
      <c r="G225" s="4" t="s">
        <v>145</v>
      </c>
      <c r="H225" s="4" t="s">
        <v>146</v>
      </c>
      <c r="I225" s="4" t="s">
        <v>47</v>
      </c>
      <c r="J225" s="4">
        <v>5</v>
      </c>
      <c r="K225" s="4">
        <v>89.99</v>
      </c>
      <c r="L225" s="4" t="s">
        <v>62</v>
      </c>
      <c r="M225" s="4" t="s">
        <v>78</v>
      </c>
      <c r="N225" s="4" t="s">
        <v>55</v>
      </c>
      <c r="O225" s="5">
        <v>45140</v>
      </c>
      <c r="P225" s="4">
        <v>449.95</v>
      </c>
      <c r="Q225" s="8">
        <f t="shared" ca="1" si="3"/>
        <v>46173.713128356481</v>
      </c>
      <c r="R225" s="7">
        <f ca="1">DATEDIF(data[[#This Row],[Customer_Since]],data[[#This Row],[Timestamp]],"M")</f>
        <v>33</v>
      </c>
      <c r="S225">
        <f>COUNTIF($H$5:H225,H225)</f>
        <v>28</v>
      </c>
      <c r="T225">
        <f>COUNTIF($L$5:L225,L225)</f>
        <v>43</v>
      </c>
      <c r="U225">
        <f>COUNTIF($M$5:M225,M225)</f>
        <v>39</v>
      </c>
      <c r="V225" s="14">
        <f>EOMONTH(data[[#This Row],[Date]],0)</f>
        <v>45626</v>
      </c>
    </row>
    <row r="226" spans="2:22" ht="15.75" customHeight="1" x14ac:dyDescent="0.3">
      <c r="B226" s="4" t="s">
        <v>396</v>
      </c>
      <c r="C226" s="9">
        <v>45614</v>
      </c>
      <c r="D226" s="4" t="s">
        <v>166</v>
      </c>
      <c r="E226" s="4" t="str">
        <f>RIGHT(data[[#This Row],[Customer_ID]],3)</f>
        <v>031</v>
      </c>
      <c r="F226" s="4" t="s">
        <v>167</v>
      </c>
      <c r="G226" s="4" t="s">
        <v>154</v>
      </c>
      <c r="H226" s="4" t="s">
        <v>155</v>
      </c>
      <c r="I226" s="4" t="s">
        <v>74</v>
      </c>
      <c r="J226" s="4">
        <v>2</v>
      </c>
      <c r="K226" s="4">
        <v>199.99</v>
      </c>
      <c r="L226" s="4" t="s">
        <v>48</v>
      </c>
      <c r="M226" s="4" t="s">
        <v>49</v>
      </c>
      <c r="N226" s="4" t="s">
        <v>55</v>
      </c>
      <c r="O226" s="5">
        <v>44573</v>
      </c>
      <c r="P226" s="4">
        <v>399.98</v>
      </c>
      <c r="Q226" s="8">
        <f t="shared" ca="1" si="3"/>
        <v>46173.713128356481</v>
      </c>
      <c r="R226" s="7">
        <f ca="1">DATEDIF(data[[#This Row],[Customer_Since]],data[[#This Row],[Timestamp]],"M")</f>
        <v>52</v>
      </c>
      <c r="S226">
        <f>COUNTIF($H$5:H226,H226)</f>
        <v>15</v>
      </c>
      <c r="T226">
        <f>COUNTIF($L$5:L226,L226)</f>
        <v>68</v>
      </c>
      <c r="U226">
        <f>COUNTIF($M$5:M226,M226)</f>
        <v>48</v>
      </c>
      <c r="V226" s="14">
        <f>EOMONTH(data[[#This Row],[Date]],0)</f>
        <v>45626</v>
      </c>
    </row>
    <row r="227" spans="2:22" ht="15.75" customHeight="1" x14ac:dyDescent="0.3">
      <c r="B227" s="4" t="s">
        <v>397</v>
      </c>
      <c r="C227" s="9">
        <v>45615</v>
      </c>
      <c r="D227" s="4" t="s">
        <v>287</v>
      </c>
      <c r="E227" s="4" t="str">
        <f>RIGHT(data[[#This Row],[Customer_ID]],3)</f>
        <v>015</v>
      </c>
      <c r="F227" s="4" t="s">
        <v>288</v>
      </c>
      <c r="G227" s="4" t="s">
        <v>59</v>
      </c>
      <c r="H227" s="4" t="s">
        <v>60</v>
      </c>
      <c r="I227" s="4" t="s">
        <v>61</v>
      </c>
      <c r="J227" s="4">
        <v>4</v>
      </c>
      <c r="K227" s="4">
        <v>59.99</v>
      </c>
      <c r="L227" s="4" t="s">
        <v>48</v>
      </c>
      <c r="M227" s="4" t="s">
        <v>78</v>
      </c>
      <c r="N227" s="4" t="s">
        <v>64</v>
      </c>
      <c r="O227" s="5">
        <v>45070</v>
      </c>
      <c r="P227" s="4">
        <v>239.96</v>
      </c>
      <c r="Q227" s="8">
        <f t="shared" ca="1" si="3"/>
        <v>46173.713128356481</v>
      </c>
      <c r="R227" s="7">
        <f ca="1">DATEDIF(data[[#This Row],[Customer_Since]],data[[#This Row],[Timestamp]],"M")</f>
        <v>36</v>
      </c>
      <c r="S227">
        <f>COUNTIF($H$5:H227,H227)</f>
        <v>27</v>
      </c>
      <c r="T227">
        <f>COUNTIF($L$5:L227,L227)</f>
        <v>69</v>
      </c>
      <c r="U227">
        <f>COUNTIF($M$5:M227,M227)</f>
        <v>40</v>
      </c>
      <c r="V227" s="14">
        <f>EOMONTH(data[[#This Row],[Date]],0)</f>
        <v>45626</v>
      </c>
    </row>
    <row r="228" spans="2:22" ht="15.75" customHeight="1" x14ac:dyDescent="0.3">
      <c r="B228" s="4" t="s">
        <v>398</v>
      </c>
      <c r="C228" s="9">
        <v>45616</v>
      </c>
      <c r="D228" s="4" t="s">
        <v>121</v>
      </c>
      <c r="E228" s="4" t="str">
        <f>RIGHT(data[[#This Row],[Customer_ID]],3)</f>
        <v>048</v>
      </c>
      <c r="F228" s="4" t="s">
        <v>122</v>
      </c>
      <c r="G228" s="4" t="s">
        <v>133</v>
      </c>
      <c r="H228" s="4" t="s">
        <v>134</v>
      </c>
      <c r="I228" s="4" t="s">
        <v>74</v>
      </c>
      <c r="J228" s="4">
        <v>2</v>
      </c>
      <c r="K228" s="4">
        <v>299.99</v>
      </c>
      <c r="L228" s="4" t="s">
        <v>62</v>
      </c>
      <c r="M228" s="4" t="s">
        <v>63</v>
      </c>
      <c r="N228" s="4" t="s">
        <v>50</v>
      </c>
      <c r="O228" s="5">
        <v>44576</v>
      </c>
      <c r="P228" s="4">
        <v>599.98</v>
      </c>
      <c r="Q228" s="8">
        <f t="shared" ca="1" si="3"/>
        <v>46173.713128356481</v>
      </c>
      <c r="R228" s="7">
        <f ca="1">DATEDIF(data[[#This Row],[Customer_Since]],data[[#This Row],[Timestamp]],"M")</f>
        <v>52</v>
      </c>
      <c r="S228">
        <f>COUNTIF($H$5:H228,H228)</f>
        <v>25</v>
      </c>
      <c r="T228">
        <f>COUNTIF($L$5:L228,L228)</f>
        <v>44</v>
      </c>
      <c r="U228">
        <f>COUNTIF($M$5:M228,M228)</f>
        <v>41</v>
      </c>
      <c r="V228" s="14">
        <f>EOMONTH(data[[#This Row],[Date]],0)</f>
        <v>45626</v>
      </c>
    </row>
    <row r="229" spans="2:22" ht="15.75" customHeight="1" x14ac:dyDescent="0.3">
      <c r="B229" s="4" t="s">
        <v>399</v>
      </c>
      <c r="C229" s="9">
        <v>45617</v>
      </c>
      <c r="D229" s="4" t="s">
        <v>83</v>
      </c>
      <c r="E229" s="4" t="str">
        <f>RIGHT(data[[#This Row],[Customer_ID]],3)</f>
        <v>017</v>
      </c>
      <c r="F229" s="4" t="s">
        <v>84</v>
      </c>
      <c r="G229" s="4" t="s">
        <v>72</v>
      </c>
      <c r="H229" s="4" t="s">
        <v>73</v>
      </c>
      <c r="I229" s="4" t="s">
        <v>74</v>
      </c>
      <c r="J229" s="4">
        <v>2</v>
      </c>
      <c r="K229" s="4">
        <v>149.99</v>
      </c>
      <c r="L229" s="4" t="s">
        <v>48</v>
      </c>
      <c r="M229" s="4" t="s">
        <v>49</v>
      </c>
      <c r="N229" s="4" t="s">
        <v>50</v>
      </c>
      <c r="O229" s="5">
        <v>45068</v>
      </c>
      <c r="P229" s="4">
        <v>299.98</v>
      </c>
      <c r="Q229" s="8">
        <f t="shared" ca="1" si="3"/>
        <v>46173.713128356481</v>
      </c>
      <c r="R229" s="7">
        <f ca="1">DATEDIF(data[[#This Row],[Customer_Since]],data[[#This Row],[Timestamp]],"M")</f>
        <v>36</v>
      </c>
      <c r="S229">
        <f>COUNTIF($H$5:H229,H229)</f>
        <v>30</v>
      </c>
      <c r="T229">
        <f>COUNTIF($L$5:L229,L229)</f>
        <v>70</v>
      </c>
      <c r="U229">
        <f>COUNTIF($M$5:M229,M229)</f>
        <v>49</v>
      </c>
      <c r="V229" s="14">
        <f>EOMONTH(data[[#This Row],[Date]],0)</f>
        <v>45626</v>
      </c>
    </row>
    <row r="230" spans="2:22" ht="15.75" customHeight="1" x14ac:dyDescent="0.3">
      <c r="B230" s="4" t="s">
        <v>400</v>
      </c>
      <c r="C230" s="9">
        <v>45618</v>
      </c>
      <c r="D230" s="4" t="s">
        <v>254</v>
      </c>
      <c r="E230" s="4" t="str">
        <f>RIGHT(data[[#This Row],[Customer_ID]],3)</f>
        <v>039</v>
      </c>
      <c r="F230" s="4" t="s">
        <v>255</v>
      </c>
      <c r="G230" s="4" t="s">
        <v>108</v>
      </c>
      <c r="H230" s="4" t="s">
        <v>109</v>
      </c>
      <c r="I230" s="4" t="s">
        <v>47</v>
      </c>
      <c r="J230" s="4">
        <v>5</v>
      </c>
      <c r="K230" s="4">
        <v>699.99</v>
      </c>
      <c r="L230" s="4" t="s">
        <v>85</v>
      </c>
      <c r="M230" s="4" t="s">
        <v>91</v>
      </c>
      <c r="N230" s="4" t="s">
        <v>55</v>
      </c>
      <c r="O230" s="5">
        <v>45161</v>
      </c>
      <c r="P230" s="4">
        <v>3499.95</v>
      </c>
      <c r="Q230" s="8">
        <f t="shared" ca="1" si="3"/>
        <v>46173.713128356481</v>
      </c>
      <c r="R230" s="7">
        <f ca="1">DATEDIF(data[[#This Row],[Customer_Since]],data[[#This Row],[Timestamp]],"M")</f>
        <v>33</v>
      </c>
      <c r="S230">
        <f>COUNTIF($H$5:H230,H230)</f>
        <v>29</v>
      </c>
      <c r="T230">
        <f>COUNTIF($L$5:L230,L230)</f>
        <v>49</v>
      </c>
      <c r="U230">
        <f>COUNTIF($M$5:M230,M230)</f>
        <v>44</v>
      </c>
      <c r="V230" s="14">
        <f>EOMONTH(data[[#This Row],[Date]],0)</f>
        <v>45626</v>
      </c>
    </row>
    <row r="231" spans="2:22" ht="15.75" customHeight="1" x14ac:dyDescent="0.3">
      <c r="B231" s="4" t="s">
        <v>401</v>
      </c>
      <c r="C231" s="9">
        <v>45619</v>
      </c>
      <c r="D231" s="4" t="s">
        <v>103</v>
      </c>
      <c r="E231" s="4" t="str">
        <f>RIGHT(data[[#This Row],[Customer_ID]],3)</f>
        <v>043</v>
      </c>
      <c r="F231" s="4" t="s">
        <v>104</v>
      </c>
      <c r="G231" s="4" t="s">
        <v>59</v>
      </c>
      <c r="H231" s="4" t="s">
        <v>60</v>
      </c>
      <c r="I231" s="4" t="s">
        <v>61</v>
      </c>
      <c r="J231" s="4">
        <v>5</v>
      </c>
      <c r="K231" s="4">
        <v>59.99</v>
      </c>
      <c r="L231" s="4" t="s">
        <v>48</v>
      </c>
      <c r="M231" s="4" t="s">
        <v>78</v>
      </c>
      <c r="N231" s="4" t="s">
        <v>55</v>
      </c>
      <c r="O231" s="5">
        <v>45291</v>
      </c>
      <c r="P231" s="4">
        <v>299.95</v>
      </c>
      <c r="Q231" s="8">
        <f t="shared" ca="1" si="3"/>
        <v>46173.713128356481</v>
      </c>
      <c r="R231" s="7">
        <f ca="1">DATEDIF(data[[#This Row],[Customer_Since]],data[[#This Row],[Timestamp]],"M")</f>
        <v>29</v>
      </c>
      <c r="S231">
        <f>COUNTIF($H$5:H231,H231)</f>
        <v>28</v>
      </c>
      <c r="T231">
        <f>COUNTIF($L$5:L231,L231)</f>
        <v>71</v>
      </c>
      <c r="U231">
        <f>COUNTIF($M$5:M231,M231)</f>
        <v>41</v>
      </c>
      <c r="V231" s="14">
        <f>EOMONTH(data[[#This Row],[Date]],0)</f>
        <v>45626</v>
      </c>
    </row>
    <row r="232" spans="2:22" ht="15.75" customHeight="1" x14ac:dyDescent="0.3">
      <c r="B232" s="4" t="s">
        <v>402</v>
      </c>
      <c r="C232" s="9">
        <v>45620</v>
      </c>
      <c r="D232" s="4" t="s">
        <v>43</v>
      </c>
      <c r="E232" s="4" t="str">
        <f>RIGHT(data[[#This Row],[Customer_ID]],3)</f>
        <v>023</v>
      </c>
      <c r="F232" s="4" t="s">
        <v>44</v>
      </c>
      <c r="G232" s="4" t="s">
        <v>145</v>
      </c>
      <c r="H232" s="4" t="s">
        <v>146</v>
      </c>
      <c r="I232" s="4" t="s">
        <v>47</v>
      </c>
      <c r="J232" s="4">
        <v>2</v>
      </c>
      <c r="K232" s="4">
        <v>89.99</v>
      </c>
      <c r="L232" s="4" t="s">
        <v>54</v>
      </c>
      <c r="M232" s="4" t="s">
        <v>78</v>
      </c>
      <c r="N232" s="4" t="s">
        <v>55</v>
      </c>
      <c r="O232" s="5">
        <v>45295</v>
      </c>
      <c r="P232" s="4">
        <v>179.98</v>
      </c>
      <c r="Q232" s="8">
        <f t="shared" ca="1" si="3"/>
        <v>46173.713128356481</v>
      </c>
      <c r="R232" s="7">
        <f ca="1">DATEDIF(data[[#This Row],[Customer_Since]],data[[#This Row],[Timestamp]],"M")</f>
        <v>28</v>
      </c>
      <c r="S232">
        <f>COUNTIF($H$5:H232,H232)</f>
        <v>29</v>
      </c>
      <c r="T232">
        <f>COUNTIF($L$5:L232,L232)</f>
        <v>64</v>
      </c>
      <c r="U232">
        <f>COUNTIF($M$5:M232,M232)</f>
        <v>42</v>
      </c>
      <c r="V232" s="14">
        <f>EOMONTH(data[[#This Row],[Date]],0)</f>
        <v>45626</v>
      </c>
    </row>
    <row r="233" spans="2:22" ht="15.75" customHeight="1" x14ac:dyDescent="0.3">
      <c r="B233" s="4" t="s">
        <v>403</v>
      </c>
      <c r="C233" s="9">
        <v>45621</v>
      </c>
      <c r="D233" s="4" t="s">
        <v>148</v>
      </c>
      <c r="E233" s="4" t="str">
        <f>RIGHT(data[[#This Row],[Customer_ID]],3)</f>
        <v>030</v>
      </c>
      <c r="F233" s="4" t="s">
        <v>149</v>
      </c>
      <c r="G233" s="4" t="s">
        <v>45</v>
      </c>
      <c r="H233" s="4" t="s">
        <v>46</v>
      </c>
      <c r="I233" s="4" t="s">
        <v>47</v>
      </c>
      <c r="J233" s="4">
        <v>5</v>
      </c>
      <c r="K233" s="4">
        <v>249.99</v>
      </c>
      <c r="L233" s="4" t="s">
        <v>48</v>
      </c>
      <c r="M233" s="4" t="s">
        <v>91</v>
      </c>
      <c r="N233" s="4" t="s">
        <v>64</v>
      </c>
      <c r="O233" s="5">
        <v>44540</v>
      </c>
      <c r="P233" s="4">
        <v>1249.95</v>
      </c>
      <c r="Q233" s="8">
        <f t="shared" ca="1" si="3"/>
        <v>46173.713128356481</v>
      </c>
      <c r="R233" s="7">
        <f ca="1">DATEDIF(data[[#This Row],[Customer_Since]],data[[#This Row],[Timestamp]],"M")</f>
        <v>53</v>
      </c>
      <c r="S233">
        <f>COUNTIF($H$5:H233,H233)</f>
        <v>25</v>
      </c>
      <c r="T233">
        <f>COUNTIF($L$5:L233,L233)</f>
        <v>72</v>
      </c>
      <c r="U233">
        <f>COUNTIF($M$5:M233,M233)</f>
        <v>45</v>
      </c>
      <c r="V233" s="14">
        <f>EOMONTH(data[[#This Row],[Date]],0)</f>
        <v>45626</v>
      </c>
    </row>
    <row r="234" spans="2:22" ht="15.75" customHeight="1" x14ac:dyDescent="0.3">
      <c r="B234" s="4" t="s">
        <v>404</v>
      </c>
      <c r="C234" s="9">
        <v>45622</v>
      </c>
      <c r="D234" s="4" t="s">
        <v>254</v>
      </c>
      <c r="E234" s="4" t="str">
        <f>RIGHT(data[[#This Row],[Customer_ID]],3)</f>
        <v>039</v>
      </c>
      <c r="F234" s="4" t="s">
        <v>255</v>
      </c>
      <c r="G234" s="4" t="s">
        <v>72</v>
      </c>
      <c r="H234" s="4" t="s">
        <v>73</v>
      </c>
      <c r="I234" s="4" t="s">
        <v>74</v>
      </c>
      <c r="J234" s="4">
        <v>2</v>
      </c>
      <c r="K234" s="4">
        <v>149.99</v>
      </c>
      <c r="L234" s="4" t="s">
        <v>62</v>
      </c>
      <c r="M234" s="4" t="s">
        <v>49</v>
      </c>
      <c r="N234" s="4" t="s">
        <v>55</v>
      </c>
      <c r="O234" s="5">
        <v>44632</v>
      </c>
      <c r="P234" s="4">
        <v>299.98</v>
      </c>
      <c r="Q234" s="8">
        <f t="shared" ca="1" si="3"/>
        <v>46173.713128356481</v>
      </c>
      <c r="R234" s="7">
        <f ca="1">DATEDIF(data[[#This Row],[Customer_Since]],data[[#This Row],[Timestamp]],"M")</f>
        <v>50</v>
      </c>
      <c r="S234">
        <f>COUNTIF($H$5:H234,H234)</f>
        <v>31</v>
      </c>
      <c r="T234">
        <f>COUNTIF($L$5:L234,L234)</f>
        <v>45</v>
      </c>
      <c r="U234">
        <f>COUNTIF($M$5:M234,M234)</f>
        <v>50</v>
      </c>
      <c r="V234" s="14">
        <f>EOMONTH(data[[#This Row],[Date]],0)</f>
        <v>45626</v>
      </c>
    </row>
    <row r="235" spans="2:22" ht="15.75" customHeight="1" x14ac:dyDescent="0.3">
      <c r="B235" s="4" t="s">
        <v>405</v>
      </c>
      <c r="C235" s="9">
        <v>45623</v>
      </c>
      <c r="D235" s="4" t="s">
        <v>172</v>
      </c>
      <c r="E235" s="4" t="str">
        <f>RIGHT(data[[#This Row],[Customer_ID]],3)</f>
        <v>035</v>
      </c>
      <c r="F235" s="4" t="s">
        <v>173</v>
      </c>
      <c r="G235" s="4" t="s">
        <v>89</v>
      </c>
      <c r="H235" s="4" t="s">
        <v>90</v>
      </c>
      <c r="I235" s="4" t="s">
        <v>47</v>
      </c>
      <c r="J235" s="4">
        <v>5</v>
      </c>
      <c r="K235" s="4">
        <v>899.99</v>
      </c>
      <c r="L235" s="4" t="s">
        <v>62</v>
      </c>
      <c r="M235" s="4" t="s">
        <v>91</v>
      </c>
      <c r="N235" s="4" t="s">
        <v>55</v>
      </c>
      <c r="O235" s="5">
        <v>45389</v>
      </c>
      <c r="P235" s="4">
        <v>4499.95</v>
      </c>
      <c r="Q235" s="8">
        <f t="shared" ca="1" si="3"/>
        <v>46173.713128356481</v>
      </c>
      <c r="R235" s="7">
        <f ca="1">DATEDIF(data[[#This Row],[Customer_Since]],data[[#This Row],[Timestamp]],"M")</f>
        <v>25</v>
      </c>
      <c r="S235">
        <f>COUNTIF($H$5:H235,H235)</f>
        <v>21</v>
      </c>
      <c r="T235">
        <f>COUNTIF($L$5:L235,L235)</f>
        <v>46</v>
      </c>
      <c r="U235">
        <f>COUNTIF($M$5:M235,M235)</f>
        <v>46</v>
      </c>
      <c r="V235" s="14">
        <f>EOMONTH(data[[#This Row],[Date]],0)</f>
        <v>45626</v>
      </c>
    </row>
    <row r="236" spans="2:22" ht="15.75" customHeight="1" x14ac:dyDescent="0.3">
      <c r="B236" s="4" t="s">
        <v>406</v>
      </c>
      <c r="C236" s="9">
        <v>45624</v>
      </c>
      <c r="D236" s="4" t="s">
        <v>83</v>
      </c>
      <c r="E236" s="4" t="str">
        <f>RIGHT(data[[#This Row],[Customer_ID]],3)</f>
        <v>017</v>
      </c>
      <c r="F236" s="4" t="s">
        <v>84</v>
      </c>
      <c r="G236" s="4" t="s">
        <v>72</v>
      </c>
      <c r="H236" s="4" t="s">
        <v>73</v>
      </c>
      <c r="I236" s="4" t="s">
        <v>74</v>
      </c>
      <c r="J236" s="4">
        <v>4</v>
      </c>
      <c r="K236" s="4">
        <v>149.99</v>
      </c>
      <c r="L236" s="4" t="s">
        <v>48</v>
      </c>
      <c r="M236" s="4" t="s">
        <v>49</v>
      </c>
      <c r="N236" s="4" t="s">
        <v>64</v>
      </c>
      <c r="O236" s="5">
        <v>45263</v>
      </c>
      <c r="P236" s="4">
        <v>599.96</v>
      </c>
      <c r="Q236" s="8">
        <f t="shared" ca="1" si="3"/>
        <v>46173.713128356481</v>
      </c>
      <c r="R236" s="7">
        <f ca="1">DATEDIF(data[[#This Row],[Customer_Since]],data[[#This Row],[Timestamp]],"M")</f>
        <v>29</v>
      </c>
      <c r="S236">
        <f>COUNTIF($H$5:H236,H236)</f>
        <v>32</v>
      </c>
      <c r="T236">
        <f>COUNTIF($L$5:L236,L236)</f>
        <v>73</v>
      </c>
      <c r="U236">
        <f>COUNTIF($M$5:M236,M236)</f>
        <v>51</v>
      </c>
      <c r="V236" s="14">
        <f>EOMONTH(data[[#This Row],[Date]],0)</f>
        <v>45626</v>
      </c>
    </row>
    <row r="237" spans="2:22" ht="15.75" customHeight="1" x14ac:dyDescent="0.3">
      <c r="B237" s="4" t="s">
        <v>407</v>
      </c>
      <c r="C237" s="9">
        <v>45625</v>
      </c>
      <c r="D237" s="4" t="s">
        <v>172</v>
      </c>
      <c r="E237" s="4" t="str">
        <f>RIGHT(data[[#This Row],[Customer_ID]],3)</f>
        <v>035</v>
      </c>
      <c r="F237" s="4" t="s">
        <v>173</v>
      </c>
      <c r="G237" s="4" t="s">
        <v>45</v>
      </c>
      <c r="H237" s="4" t="s">
        <v>46</v>
      </c>
      <c r="I237" s="4" t="s">
        <v>47</v>
      </c>
      <c r="J237" s="4">
        <v>1</v>
      </c>
      <c r="K237" s="4">
        <v>249.99</v>
      </c>
      <c r="L237" s="4" t="s">
        <v>48</v>
      </c>
      <c r="M237" s="4" t="s">
        <v>68</v>
      </c>
      <c r="N237" s="4" t="s">
        <v>64</v>
      </c>
      <c r="O237" s="5">
        <v>45117</v>
      </c>
      <c r="P237" s="4">
        <v>249.99</v>
      </c>
      <c r="Q237" s="8">
        <f t="shared" ca="1" si="3"/>
        <v>46173.713128356481</v>
      </c>
      <c r="R237" s="7">
        <f ca="1">DATEDIF(data[[#This Row],[Customer_Since]],data[[#This Row],[Timestamp]],"M")</f>
        <v>34</v>
      </c>
      <c r="S237">
        <f>COUNTIF($H$5:H237,H237)</f>
        <v>26</v>
      </c>
      <c r="T237">
        <f>COUNTIF($L$5:L237,L237)</f>
        <v>74</v>
      </c>
      <c r="U237">
        <f>COUNTIF($M$5:M237,M237)</f>
        <v>53</v>
      </c>
      <c r="V237" s="14">
        <f>EOMONTH(data[[#This Row],[Date]],0)</f>
        <v>45626</v>
      </c>
    </row>
    <row r="238" spans="2:22" ht="15.75" customHeight="1" x14ac:dyDescent="0.3">
      <c r="B238" s="4" t="s">
        <v>408</v>
      </c>
      <c r="C238" s="9">
        <v>45626</v>
      </c>
      <c r="D238" s="4" t="s">
        <v>220</v>
      </c>
      <c r="E238" s="4" t="str">
        <f>RIGHT(data[[#This Row],[Customer_ID]],3)</f>
        <v>033</v>
      </c>
      <c r="F238" s="4" t="s">
        <v>221</v>
      </c>
      <c r="G238" s="4" t="s">
        <v>59</v>
      </c>
      <c r="H238" s="4" t="s">
        <v>60</v>
      </c>
      <c r="I238" s="4" t="s">
        <v>61</v>
      </c>
      <c r="J238" s="4">
        <v>2</v>
      </c>
      <c r="K238" s="4">
        <v>59.99</v>
      </c>
      <c r="L238" s="4" t="s">
        <v>54</v>
      </c>
      <c r="M238" s="4" t="s">
        <v>78</v>
      </c>
      <c r="N238" s="4" t="s">
        <v>50</v>
      </c>
      <c r="O238" s="5">
        <v>45193</v>
      </c>
      <c r="P238" s="4">
        <v>119.98</v>
      </c>
      <c r="Q238" s="8">
        <f t="shared" ca="1" si="3"/>
        <v>46173.713128356481</v>
      </c>
      <c r="R238" s="7">
        <f ca="1">DATEDIF(data[[#This Row],[Customer_Since]],data[[#This Row],[Timestamp]],"M")</f>
        <v>32</v>
      </c>
      <c r="S238">
        <f>COUNTIF($H$5:H238,H238)</f>
        <v>29</v>
      </c>
      <c r="T238">
        <f>COUNTIF($L$5:L238,L238)</f>
        <v>65</v>
      </c>
      <c r="U238">
        <f>COUNTIF($M$5:M238,M238)</f>
        <v>43</v>
      </c>
      <c r="V238" s="14">
        <f>EOMONTH(data[[#This Row],[Date]],0)</f>
        <v>45626</v>
      </c>
    </row>
    <row r="239" spans="2:22" ht="15.75" customHeight="1" x14ac:dyDescent="0.3">
      <c r="B239" s="4" t="s">
        <v>409</v>
      </c>
      <c r="C239" s="9">
        <v>45627</v>
      </c>
      <c r="D239" s="4" t="s">
        <v>160</v>
      </c>
      <c r="E239" s="4" t="str">
        <f>RIGHT(data[[#This Row],[Customer_ID]],3)</f>
        <v>002</v>
      </c>
      <c r="F239" s="4" t="s">
        <v>161</v>
      </c>
      <c r="G239" s="4" t="s">
        <v>72</v>
      </c>
      <c r="H239" s="4" t="s">
        <v>73</v>
      </c>
      <c r="I239" s="4" t="s">
        <v>74</v>
      </c>
      <c r="J239" s="4">
        <v>2</v>
      </c>
      <c r="K239" s="4">
        <v>149.99</v>
      </c>
      <c r="L239" s="4" t="s">
        <v>48</v>
      </c>
      <c r="M239" s="4" t="s">
        <v>78</v>
      </c>
      <c r="N239" s="4" t="s">
        <v>55</v>
      </c>
      <c r="O239" s="5">
        <v>45233</v>
      </c>
      <c r="P239" s="4">
        <v>299.98</v>
      </c>
      <c r="Q239" s="8">
        <f t="shared" ca="1" si="3"/>
        <v>46173.713128356481</v>
      </c>
      <c r="R239" s="7">
        <f ca="1">DATEDIF(data[[#This Row],[Customer_Since]],data[[#This Row],[Timestamp]],"M")</f>
        <v>30</v>
      </c>
      <c r="S239">
        <f>COUNTIF($H$5:H239,H239)</f>
        <v>33</v>
      </c>
      <c r="T239">
        <f>COUNTIF($L$5:L239,L239)</f>
        <v>75</v>
      </c>
      <c r="U239">
        <f>COUNTIF($M$5:M239,M239)</f>
        <v>44</v>
      </c>
      <c r="V239" s="14">
        <f>EOMONTH(data[[#This Row],[Date]],0)</f>
        <v>45657</v>
      </c>
    </row>
    <row r="240" spans="2:22" ht="15.75" customHeight="1" x14ac:dyDescent="0.3">
      <c r="B240" s="4" t="s">
        <v>410</v>
      </c>
      <c r="C240" s="9">
        <v>45628</v>
      </c>
      <c r="D240" s="4" t="s">
        <v>178</v>
      </c>
      <c r="E240" s="4" t="str">
        <f>RIGHT(data[[#This Row],[Customer_ID]],3)</f>
        <v>040</v>
      </c>
      <c r="F240" s="4" t="s">
        <v>179</v>
      </c>
      <c r="G240" s="4" t="s">
        <v>89</v>
      </c>
      <c r="H240" s="4" t="s">
        <v>90</v>
      </c>
      <c r="I240" s="4" t="s">
        <v>47</v>
      </c>
      <c r="J240" s="4">
        <v>3</v>
      </c>
      <c r="K240" s="4">
        <v>899.99</v>
      </c>
      <c r="L240" s="4" t="s">
        <v>85</v>
      </c>
      <c r="M240" s="4" t="s">
        <v>68</v>
      </c>
      <c r="N240" s="4" t="s">
        <v>55</v>
      </c>
      <c r="O240" s="5">
        <v>44876</v>
      </c>
      <c r="P240" s="4">
        <v>2699.97</v>
      </c>
      <c r="Q240" s="8">
        <f t="shared" ca="1" si="3"/>
        <v>46173.713128356481</v>
      </c>
      <c r="R240" s="7">
        <f ca="1">DATEDIF(data[[#This Row],[Customer_Since]],data[[#This Row],[Timestamp]],"M")</f>
        <v>42</v>
      </c>
      <c r="S240">
        <f>COUNTIF($H$5:H240,H240)</f>
        <v>22</v>
      </c>
      <c r="T240">
        <f>COUNTIF($L$5:L240,L240)</f>
        <v>50</v>
      </c>
      <c r="U240">
        <f>COUNTIF($M$5:M240,M240)</f>
        <v>54</v>
      </c>
      <c r="V240" s="14">
        <f>EOMONTH(data[[#This Row],[Date]],0)</f>
        <v>45657</v>
      </c>
    </row>
    <row r="241" spans="2:22" ht="15.75" customHeight="1" x14ac:dyDescent="0.3">
      <c r="B241" s="4" t="s">
        <v>411</v>
      </c>
      <c r="C241" s="9">
        <v>45629</v>
      </c>
      <c r="D241" s="4" t="s">
        <v>76</v>
      </c>
      <c r="E241" s="4" t="str">
        <f>RIGHT(data[[#This Row],[Customer_ID]],3)</f>
        <v>024</v>
      </c>
      <c r="F241" s="4" t="s">
        <v>77</v>
      </c>
      <c r="G241" s="4" t="s">
        <v>89</v>
      </c>
      <c r="H241" s="4" t="s">
        <v>90</v>
      </c>
      <c r="I241" s="4" t="s">
        <v>47</v>
      </c>
      <c r="J241" s="4">
        <v>3</v>
      </c>
      <c r="K241" s="4">
        <v>899.99</v>
      </c>
      <c r="L241" s="4" t="s">
        <v>62</v>
      </c>
      <c r="M241" s="4" t="s">
        <v>68</v>
      </c>
      <c r="N241" s="4" t="s">
        <v>50</v>
      </c>
      <c r="O241" s="5">
        <v>44975</v>
      </c>
      <c r="P241" s="4">
        <v>2699.97</v>
      </c>
      <c r="Q241" s="8">
        <f t="shared" ca="1" si="3"/>
        <v>46173.713128356481</v>
      </c>
      <c r="R241" s="7">
        <f ca="1">DATEDIF(data[[#This Row],[Customer_Since]],data[[#This Row],[Timestamp]],"M")</f>
        <v>39</v>
      </c>
      <c r="S241">
        <f>COUNTIF($H$5:H241,H241)</f>
        <v>23</v>
      </c>
      <c r="T241">
        <f>COUNTIF($L$5:L241,L241)</f>
        <v>47</v>
      </c>
      <c r="U241">
        <f>COUNTIF($M$5:M241,M241)</f>
        <v>55</v>
      </c>
      <c r="V241" s="14">
        <f>EOMONTH(data[[#This Row],[Date]],0)</f>
        <v>45657</v>
      </c>
    </row>
    <row r="242" spans="2:22" ht="15.75" customHeight="1" x14ac:dyDescent="0.3">
      <c r="B242" s="4" t="s">
        <v>412</v>
      </c>
      <c r="C242" s="9">
        <v>45630</v>
      </c>
      <c r="D242" s="4" t="s">
        <v>43</v>
      </c>
      <c r="E242" s="4" t="str">
        <f>RIGHT(data[[#This Row],[Customer_ID]],3)</f>
        <v>023</v>
      </c>
      <c r="F242" s="4" t="s">
        <v>44</v>
      </c>
      <c r="G242" s="4" t="s">
        <v>133</v>
      </c>
      <c r="H242" s="4" t="s">
        <v>134</v>
      </c>
      <c r="I242" s="4" t="s">
        <v>74</v>
      </c>
      <c r="J242" s="4">
        <v>3</v>
      </c>
      <c r="K242" s="4">
        <v>299.99</v>
      </c>
      <c r="L242" s="4" t="s">
        <v>54</v>
      </c>
      <c r="M242" s="4" t="s">
        <v>78</v>
      </c>
      <c r="N242" s="4" t="s">
        <v>55</v>
      </c>
      <c r="O242" s="5">
        <v>45234</v>
      </c>
      <c r="P242" s="4">
        <v>899.97</v>
      </c>
      <c r="Q242" s="8">
        <f t="shared" ca="1" si="3"/>
        <v>46173.713128356481</v>
      </c>
      <c r="R242" s="7">
        <f ca="1">DATEDIF(data[[#This Row],[Customer_Since]],data[[#This Row],[Timestamp]],"M")</f>
        <v>30</v>
      </c>
      <c r="S242">
        <f>COUNTIF($H$5:H242,H242)</f>
        <v>26</v>
      </c>
      <c r="T242">
        <f>COUNTIF($L$5:L242,L242)</f>
        <v>66</v>
      </c>
      <c r="U242">
        <f>COUNTIF($M$5:M242,M242)</f>
        <v>45</v>
      </c>
      <c r="V242" s="14">
        <f>EOMONTH(data[[#This Row],[Date]],0)</f>
        <v>45657</v>
      </c>
    </row>
    <row r="243" spans="2:22" ht="15.75" customHeight="1" x14ac:dyDescent="0.3">
      <c r="B243" s="4" t="s">
        <v>413</v>
      </c>
      <c r="C243" s="9">
        <v>45631</v>
      </c>
      <c r="D243" s="4" t="s">
        <v>414</v>
      </c>
      <c r="E243" s="4" t="str">
        <f>RIGHT(data[[#This Row],[Customer_ID]],3)</f>
        <v>001</v>
      </c>
      <c r="F243" s="4" t="s">
        <v>415</v>
      </c>
      <c r="G243" s="4" t="s">
        <v>72</v>
      </c>
      <c r="H243" s="4" t="s">
        <v>73</v>
      </c>
      <c r="I243" s="4" t="s">
        <v>74</v>
      </c>
      <c r="J243" s="4">
        <v>4</v>
      </c>
      <c r="K243" s="4">
        <v>149.99</v>
      </c>
      <c r="L243" s="4" t="s">
        <v>62</v>
      </c>
      <c r="M243" s="4" t="s">
        <v>78</v>
      </c>
      <c r="N243" s="4" t="s">
        <v>64</v>
      </c>
      <c r="O243" s="5">
        <v>44560</v>
      </c>
      <c r="P243" s="4">
        <v>599.96</v>
      </c>
      <c r="Q243" s="8">
        <f t="shared" ca="1" si="3"/>
        <v>46173.713128356481</v>
      </c>
      <c r="R243" s="7">
        <f ca="1">DATEDIF(data[[#This Row],[Customer_Since]],data[[#This Row],[Timestamp]],"M")</f>
        <v>53</v>
      </c>
      <c r="S243">
        <f>COUNTIF($H$5:H243,H243)</f>
        <v>34</v>
      </c>
      <c r="T243">
        <f>COUNTIF($L$5:L243,L243)</f>
        <v>48</v>
      </c>
      <c r="U243">
        <f>COUNTIF($M$5:M243,M243)</f>
        <v>46</v>
      </c>
      <c r="V243" s="14">
        <f>EOMONTH(data[[#This Row],[Date]],0)</f>
        <v>45657</v>
      </c>
    </row>
    <row r="244" spans="2:22" ht="15.75" customHeight="1" x14ac:dyDescent="0.3">
      <c r="B244" s="4" t="s">
        <v>416</v>
      </c>
      <c r="C244" s="9">
        <v>45632</v>
      </c>
      <c r="D244" s="4" t="s">
        <v>130</v>
      </c>
      <c r="E244" s="4" t="str">
        <f>RIGHT(data[[#This Row],[Customer_ID]],3)</f>
        <v>044</v>
      </c>
      <c r="F244" s="4" t="s">
        <v>131</v>
      </c>
      <c r="G244" s="4" t="s">
        <v>142</v>
      </c>
      <c r="H244" s="4" t="s">
        <v>143</v>
      </c>
      <c r="I244" s="4" t="s">
        <v>61</v>
      </c>
      <c r="J244" s="4">
        <v>4</v>
      </c>
      <c r="K244" s="4">
        <v>79.989999999999995</v>
      </c>
      <c r="L244" s="4" t="s">
        <v>54</v>
      </c>
      <c r="M244" s="4" t="s">
        <v>49</v>
      </c>
      <c r="N244" s="4" t="s">
        <v>50</v>
      </c>
      <c r="O244" s="5">
        <v>45288</v>
      </c>
      <c r="P244" s="4">
        <v>319.95999999999998</v>
      </c>
      <c r="Q244" s="8">
        <f t="shared" ca="1" si="3"/>
        <v>46173.713128356481</v>
      </c>
      <c r="R244" s="7">
        <f ca="1">DATEDIF(data[[#This Row],[Customer_Since]],data[[#This Row],[Timestamp]],"M")</f>
        <v>29</v>
      </c>
      <c r="S244">
        <f>COUNTIF($H$5:H244,H244)</f>
        <v>13</v>
      </c>
      <c r="T244">
        <f>COUNTIF($L$5:L244,L244)</f>
        <v>67</v>
      </c>
      <c r="U244">
        <f>COUNTIF($M$5:M244,M244)</f>
        <v>52</v>
      </c>
      <c r="V244" s="14">
        <f>EOMONTH(data[[#This Row],[Date]],0)</f>
        <v>45657</v>
      </c>
    </row>
    <row r="245" spans="2:22" ht="15.75" customHeight="1" x14ac:dyDescent="0.3">
      <c r="B245" s="4" t="s">
        <v>417</v>
      </c>
      <c r="C245" s="9">
        <v>45633</v>
      </c>
      <c r="D245" s="4" t="s">
        <v>213</v>
      </c>
      <c r="E245" s="4" t="str">
        <f>RIGHT(data[[#This Row],[Customer_ID]],3)</f>
        <v>020</v>
      </c>
      <c r="F245" s="4" t="s">
        <v>214</v>
      </c>
      <c r="G245" s="4" t="s">
        <v>145</v>
      </c>
      <c r="H245" s="4" t="s">
        <v>146</v>
      </c>
      <c r="I245" s="4" t="s">
        <v>47</v>
      </c>
      <c r="J245" s="4">
        <v>5</v>
      </c>
      <c r="K245" s="4">
        <v>89.99</v>
      </c>
      <c r="L245" s="4" t="s">
        <v>62</v>
      </c>
      <c r="M245" s="4" t="s">
        <v>63</v>
      </c>
      <c r="N245" s="4" t="s">
        <v>50</v>
      </c>
      <c r="O245" s="5">
        <v>44704</v>
      </c>
      <c r="P245" s="4">
        <v>449.95</v>
      </c>
      <c r="Q245" s="8">
        <f t="shared" ca="1" si="3"/>
        <v>46173.713128356481</v>
      </c>
      <c r="R245" s="7">
        <f ca="1">DATEDIF(data[[#This Row],[Customer_Since]],data[[#This Row],[Timestamp]],"M")</f>
        <v>48</v>
      </c>
      <c r="S245">
        <f>COUNTIF($H$5:H245,H245)</f>
        <v>30</v>
      </c>
      <c r="T245">
        <f>COUNTIF($L$5:L245,L245)</f>
        <v>49</v>
      </c>
      <c r="U245">
        <f>COUNTIF($M$5:M245,M245)</f>
        <v>42</v>
      </c>
      <c r="V245" s="14">
        <f>EOMONTH(data[[#This Row],[Date]],0)</f>
        <v>45657</v>
      </c>
    </row>
    <row r="246" spans="2:22" ht="15.75" customHeight="1" x14ac:dyDescent="0.3">
      <c r="B246" s="4" t="s">
        <v>418</v>
      </c>
      <c r="C246" s="9">
        <v>45634</v>
      </c>
      <c r="D246" s="4" t="s">
        <v>121</v>
      </c>
      <c r="E246" s="4" t="str">
        <f>RIGHT(data[[#This Row],[Customer_ID]],3)</f>
        <v>048</v>
      </c>
      <c r="F246" s="4" t="s">
        <v>122</v>
      </c>
      <c r="G246" s="4" t="s">
        <v>72</v>
      </c>
      <c r="H246" s="4" t="s">
        <v>73</v>
      </c>
      <c r="I246" s="4" t="s">
        <v>74</v>
      </c>
      <c r="J246" s="4">
        <v>3</v>
      </c>
      <c r="K246" s="4">
        <v>149.99</v>
      </c>
      <c r="L246" s="4" t="s">
        <v>62</v>
      </c>
      <c r="M246" s="4" t="s">
        <v>49</v>
      </c>
      <c r="N246" s="4" t="s">
        <v>64</v>
      </c>
      <c r="O246" s="5">
        <v>45171</v>
      </c>
      <c r="P246" s="4">
        <v>449.97</v>
      </c>
      <c r="Q246" s="8">
        <f t="shared" ca="1" si="3"/>
        <v>46173.713128356481</v>
      </c>
      <c r="R246" s="7">
        <f ca="1">DATEDIF(data[[#This Row],[Customer_Since]],data[[#This Row],[Timestamp]],"M")</f>
        <v>32</v>
      </c>
      <c r="S246">
        <f>COUNTIF($H$5:H246,H246)</f>
        <v>35</v>
      </c>
      <c r="T246">
        <f>COUNTIF($L$5:L246,L246)</f>
        <v>50</v>
      </c>
      <c r="U246">
        <f>COUNTIF($M$5:M246,M246)</f>
        <v>53</v>
      </c>
      <c r="V246" s="14">
        <f>EOMONTH(data[[#This Row],[Date]],0)</f>
        <v>45657</v>
      </c>
    </row>
    <row r="247" spans="2:22" ht="15.75" customHeight="1" x14ac:dyDescent="0.3">
      <c r="B247" s="4" t="s">
        <v>419</v>
      </c>
      <c r="C247" s="9">
        <v>45635</v>
      </c>
      <c r="D247" s="4" t="s">
        <v>93</v>
      </c>
      <c r="E247" s="4" t="str">
        <f>RIGHT(data[[#This Row],[Customer_ID]],3)</f>
        <v>026</v>
      </c>
      <c r="F247" s="4" t="s">
        <v>94</v>
      </c>
      <c r="G247" s="4" t="s">
        <v>145</v>
      </c>
      <c r="H247" s="4" t="s">
        <v>146</v>
      </c>
      <c r="I247" s="4" t="s">
        <v>47</v>
      </c>
      <c r="J247" s="4">
        <v>2</v>
      </c>
      <c r="K247" s="4">
        <v>89.99</v>
      </c>
      <c r="L247" s="4" t="s">
        <v>85</v>
      </c>
      <c r="M247" s="4" t="s">
        <v>78</v>
      </c>
      <c r="N247" s="4" t="s">
        <v>55</v>
      </c>
      <c r="O247" s="5">
        <v>44522</v>
      </c>
      <c r="P247" s="4">
        <v>179.98</v>
      </c>
      <c r="Q247" s="8">
        <f t="shared" ca="1" si="3"/>
        <v>46173.713128356481</v>
      </c>
      <c r="R247" s="7">
        <f ca="1">DATEDIF(data[[#This Row],[Customer_Since]],data[[#This Row],[Timestamp]],"M")</f>
        <v>54</v>
      </c>
      <c r="S247">
        <f>COUNTIF($H$5:H247,H247)</f>
        <v>31</v>
      </c>
      <c r="T247">
        <f>COUNTIF($L$5:L247,L247)</f>
        <v>51</v>
      </c>
      <c r="U247">
        <f>COUNTIF($M$5:M247,M247)</f>
        <v>47</v>
      </c>
      <c r="V247" s="14">
        <f>EOMONTH(data[[#This Row],[Date]],0)</f>
        <v>45657</v>
      </c>
    </row>
    <row r="248" spans="2:22" ht="15.75" customHeight="1" x14ac:dyDescent="0.3">
      <c r="B248" s="4" t="s">
        <v>420</v>
      </c>
      <c r="C248" s="9">
        <v>45636</v>
      </c>
      <c r="D248" s="4" t="s">
        <v>130</v>
      </c>
      <c r="E248" s="4" t="str">
        <f>RIGHT(data[[#This Row],[Customer_ID]],3)</f>
        <v>044</v>
      </c>
      <c r="F248" s="4" t="s">
        <v>131</v>
      </c>
      <c r="G248" s="4" t="s">
        <v>108</v>
      </c>
      <c r="H248" s="4" t="s">
        <v>109</v>
      </c>
      <c r="I248" s="4" t="s">
        <v>47</v>
      </c>
      <c r="J248" s="4">
        <v>2</v>
      </c>
      <c r="K248" s="4">
        <v>699.99</v>
      </c>
      <c r="L248" s="4" t="s">
        <v>62</v>
      </c>
      <c r="M248" s="4" t="s">
        <v>68</v>
      </c>
      <c r="N248" s="4" t="s">
        <v>64</v>
      </c>
      <c r="O248" s="5">
        <v>44618</v>
      </c>
      <c r="P248" s="4">
        <v>1399.98</v>
      </c>
      <c r="Q248" s="8">
        <f t="shared" ca="1" si="3"/>
        <v>46173.713128356481</v>
      </c>
      <c r="R248" s="7">
        <f ca="1">DATEDIF(data[[#This Row],[Customer_Since]],data[[#This Row],[Timestamp]],"M")</f>
        <v>51</v>
      </c>
      <c r="S248">
        <f>COUNTIF($H$5:H248,H248)</f>
        <v>30</v>
      </c>
      <c r="T248">
        <f>COUNTIF($L$5:L248,L248)</f>
        <v>51</v>
      </c>
      <c r="U248">
        <f>COUNTIF($M$5:M248,M248)</f>
        <v>56</v>
      </c>
      <c r="V248" s="14">
        <f>EOMONTH(data[[#This Row],[Date]],0)</f>
        <v>45657</v>
      </c>
    </row>
    <row r="249" spans="2:22" ht="15.75" customHeight="1" x14ac:dyDescent="0.3">
      <c r="B249" s="4" t="s">
        <v>421</v>
      </c>
      <c r="C249" s="9">
        <v>45637</v>
      </c>
      <c r="D249" s="4" t="s">
        <v>151</v>
      </c>
      <c r="E249" s="4" t="str">
        <f>RIGHT(data[[#This Row],[Customer_ID]],3)</f>
        <v>029</v>
      </c>
      <c r="F249" s="4" t="s">
        <v>152</v>
      </c>
      <c r="G249" s="4" t="s">
        <v>89</v>
      </c>
      <c r="H249" s="4" t="s">
        <v>90</v>
      </c>
      <c r="I249" s="4" t="s">
        <v>47</v>
      </c>
      <c r="J249" s="4">
        <v>3</v>
      </c>
      <c r="K249" s="4">
        <v>899.99</v>
      </c>
      <c r="L249" s="4" t="s">
        <v>48</v>
      </c>
      <c r="M249" s="4" t="s">
        <v>49</v>
      </c>
      <c r="N249" s="4" t="s">
        <v>64</v>
      </c>
      <c r="O249" s="5">
        <v>44953</v>
      </c>
      <c r="P249" s="4">
        <v>2699.97</v>
      </c>
      <c r="Q249" s="8">
        <f t="shared" ca="1" si="3"/>
        <v>46173.713128356481</v>
      </c>
      <c r="R249" s="7">
        <f ca="1">DATEDIF(data[[#This Row],[Customer_Since]],data[[#This Row],[Timestamp]],"M")</f>
        <v>40</v>
      </c>
      <c r="S249">
        <f>COUNTIF($H$5:H249,H249)</f>
        <v>24</v>
      </c>
      <c r="T249">
        <f>COUNTIF($L$5:L249,L249)</f>
        <v>76</v>
      </c>
      <c r="U249">
        <f>COUNTIF($M$5:M249,M249)</f>
        <v>54</v>
      </c>
      <c r="V249" s="14">
        <f>EOMONTH(data[[#This Row],[Date]],0)</f>
        <v>45657</v>
      </c>
    </row>
    <row r="250" spans="2:22" ht="15.75" customHeight="1" x14ac:dyDescent="0.3">
      <c r="B250" s="4" t="s">
        <v>422</v>
      </c>
      <c r="C250" s="9">
        <v>45638</v>
      </c>
      <c r="D250" s="4" t="s">
        <v>121</v>
      </c>
      <c r="E250" s="4" t="str">
        <f>RIGHT(data[[#This Row],[Customer_ID]],3)</f>
        <v>048</v>
      </c>
      <c r="F250" s="4" t="s">
        <v>122</v>
      </c>
      <c r="G250" s="4" t="s">
        <v>142</v>
      </c>
      <c r="H250" s="4" t="s">
        <v>143</v>
      </c>
      <c r="I250" s="4" t="s">
        <v>61</v>
      </c>
      <c r="J250" s="4">
        <v>3</v>
      </c>
      <c r="K250" s="4">
        <v>79.989999999999995</v>
      </c>
      <c r="L250" s="4" t="s">
        <v>54</v>
      </c>
      <c r="M250" s="4" t="s">
        <v>68</v>
      </c>
      <c r="N250" s="4" t="s">
        <v>50</v>
      </c>
      <c r="O250" s="5">
        <v>44511</v>
      </c>
      <c r="P250" s="4">
        <v>239.97</v>
      </c>
      <c r="Q250" s="8">
        <f t="shared" ca="1" si="3"/>
        <v>46173.713128356481</v>
      </c>
      <c r="R250" s="7">
        <f ca="1">DATEDIF(data[[#This Row],[Customer_Since]],data[[#This Row],[Timestamp]],"M")</f>
        <v>54</v>
      </c>
      <c r="S250">
        <f>COUNTIF($H$5:H250,H250)</f>
        <v>14</v>
      </c>
      <c r="T250">
        <f>COUNTIF($L$5:L250,L250)</f>
        <v>68</v>
      </c>
      <c r="U250">
        <f>COUNTIF($M$5:M250,M250)</f>
        <v>57</v>
      </c>
      <c r="V250" s="14">
        <f>EOMONTH(data[[#This Row],[Date]],0)</f>
        <v>45657</v>
      </c>
    </row>
    <row r="251" spans="2:22" ht="15.75" customHeight="1" x14ac:dyDescent="0.3">
      <c r="B251" s="4" t="s">
        <v>423</v>
      </c>
      <c r="C251" s="9">
        <v>45639</v>
      </c>
      <c r="D251" s="4" t="s">
        <v>87</v>
      </c>
      <c r="E251" s="4" t="str">
        <f>RIGHT(data[[#This Row],[Customer_ID]],3)</f>
        <v>009</v>
      </c>
      <c r="F251" s="4" t="s">
        <v>88</v>
      </c>
      <c r="G251" s="4" t="s">
        <v>145</v>
      </c>
      <c r="H251" s="4" t="s">
        <v>146</v>
      </c>
      <c r="I251" s="4" t="s">
        <v>47</v>
      </c>
      <c r="J251" s="4">
        <v>1</v>
      </c>
      <c r="K251" s="4">
        <v>89.99</v>
      </c>
      <c r="L251" s="4" t="s">
        <v>85</v>
      </c>
      <c r="M251" s="4" t="s">
        <v>91</v>
      </c>
      <c r="N251" s="4" t="s">
        <v>50</v>
      </c>
      <c r="O251" s="5">
        <v>45346</v>
      </c>
      <c r="P251" s="4">
        <v>89.99</v>
      </c>
      <c r="Q251" s="8">
        <f t="shared" ca="1" si="3"/>
        <v>46173.713128356481</v>
      </c>
      <c r="R251" s="7">
        <f ca="1">DATEDIF(data[[#This Row],[Customer_Since]],data[[#This Row],[Timestamp]],"M")</f>
        <v>27</v>
      </c>
      <c r="S251">
        <f>COUNTIF($H$5:H251,H251)</f>
        <v>32</v>
      </c>
      <c r="T251">
        <f>COUNTIF($L$5:L251,L251)</f>
        <v>52</v>
      </c>
      <c r="U251">
        <f>COUNTIF($M$5:M251,M251)</f>
        <v>47</v>
      </c>
      <c r="V251" s="14">
        <f>EOMONTH(data[[#This Row],[Date]],0)</f>
        <v>45657</v>
      </c>
    </row>
    <row r="252" spans="2:22" ht="15.75" customHeight="1" x14ac:dyDescent="0.3">
      <c r="B252" s="4" t="s">
        <v>424</v>
      </c>
      <c r="C252" s="9">
        <v>45640</v>
      </c>
      <c r="D252" s="4" t="s">
        <v>321</v>
      </c>
      <c r="E252" s="4" t="str">
        <f>RIGHT(data[[#This Row],[Customer_ID]],3)</f>
        <v>045</v>
      </c>
      <c r="F252" s="4" t="s">
        <v>322</v>
      </c>
      <c r="G252" s="4" t="s">
        <v>108</v>
      </c>
      <c r="H252" s="4" t="s">
        <v>109</v>
      </c>
      <c r="I252" s="4" t="s">
        <v>47</v>
      </c>
      <c r="J252" s="4">
        <v>3</v>
      </c>
      <c r="K252" s="4">
        <v>699.99</v>
      </c>
      <c r="L252" s="4" t="s">
        <v>62</v>
      </c>
      <c r="M252" s="4" t="s">
        <v>68</v>
      </c>
      <c r="N252" s="4" t="s">
        <v>50</v>
      </c>
      <c r="O252" s="5">
        <v>44909</v>
      </c>
      <c r="P252" s="4">
        <v>2099.9699999999998</v>
      </c>
      <c r="Q252" s="8">
        <f t="shared" ca="1" si="3"/>
        <v>46173.713128356481</v>
      </c>
      <c r="R252" s="7">
        <f ca="1">DATEDIF(data[[#This Row],[Customer_Since]],data[[#This Row],[Timestamp]],"M")</f>
        <v>41</v>
      </c>
      <c r="S252">
        <f>COUNTIF($H$5:H252,H252)</f>
        <v>31</v>
      </c>
      <c r="T252">
        <f>COUNTIF($L$5:L252,L252)</f>
        <v>52</v>
      </c>
      <c r="U252">
        <f>COUNTIF($M$5:M252,M252)</f>
        <v>58</v>
      </c>
      <c r="V252" s="14">
        <f>EOMONTH(data[[#This Row],[Date]],0)</f>
        <v>45657</v>
      </c>
    </row>
    <row r="253" spans="2:22" ht="15.75" customHeight="1" x14ac:dyDescent="0.3">
      <c r="B253" s="4" t="s">
        <v>425</v>
      </c>
      <c r="C253" s="9">
        <v>45641</v>
      </c>
      <c r="D253" s="4" t="s">
        <v>254</v>
      </c>
      <c r="E253" s="4" t="str">
        <f>RIGHT(data[[#This Row],[Customer_ID]],3)</f>
        <v>039</v>
      </c>
      <c r="F253" s="4" t="s">
        <v>255</v>
      </c>
      <c r="G253" s="4" t="s">
        <v>145</v>
      </c>
      <c r="H253" s="4" t="s">
        <v>146</v>
      </c>
      <c r="I253" s="4" t="s">
        <v>47</v>
      </c>
      <c r="J253" s="4">
        <v>2</v>
      </c>
      <c r="K253" s="4">
        <v>89.99</v>
      </c>
      <c r="L253" s="4" t="s">
        <v>85</v>
      </c>
      <c r="M253" s="4" t="s">
        <v>91</v>
      </c>
      <c r="N253" s="4" t="s">
        <v>50</v>
      </c>
      <c r="O253" s="5">
        <v>45088</v>
      </c>
      <c r="P253" s="4">
        <v>179.98</v>
      </c>
      <c r="Q253" s="8">
        <f t="shared" ca="1" si="3"/>
        <v>46173.713128356481</v>
      </c>
      <c r="R253" s="7">
        <f ca="1">DATEDIF(data[[#This Row],[Customer_Since]],data[[#This Row],[Timestamp]],"M")</f>
        <v>35</v>
      </c>
      <c r="S253">
        <f>COUNTIF($H$5:H253,H253)</f>
        <v>33</v>
      </c>
      <c r="T253">
        <f>COUNTIF($L$5:L253,L253)</f>
        <v>53</v>
      </c>
      <c r="U253">
        <f>COUNTIF($M$5:M253,M253)</f>
        <v>48</v>
      </c>
      <c r="V253" s="14">
        <f>EOMONTH(data[[#This Row],[Date]],0)</f>
        <v>45657</v>
      </c>
    </row>
    <row r="254" spans="2:22" ht="15.75" customHeight="1" x14ac:dyDescent="0.3">
      <c r="B254" s="4" t="s">
        <v>426</v>
      </c>
      <c r="C254" s="9">
        <v>45642</v>
      </c>
      <c r="D254" s="4" t="s">
        <v>166</v>
      </c>
      <c r="E254" s="4" t="str">
        <f>RIGHT(data[[#This Row],[Customer_ID]],3)</f>
        <v>031</v>
      </c>
      <c r="F254" s="4" t="s">
        <v>167</v>
      </c>
      <c r="G254" s="4" t="s">
        <v>145</v>
      </c>
      <c r="H254" s="4" t="s">
        <v>146</v>
      </c>
      <c r="I254" s="4" t="s">
        <v>47</v>
      </c>
      <c r="J254" s="4">
        <v>3</v>
      </c>
      <c r="K254" s="4">
        <v>89.99</v>
      </c>
      <c r="L254" s="4" t="s">
        <v>85</v>
      </c>
      <c r="M254" s="4" t="s">
        <v>68</v>
      </c>
      <c r="N254" s="4" t="s">
        <v>55</v>
      </c>
      <c r="O254" s="5">
        <v>44878</v>
      </c>
      <c r="P254" s="4">
        <v>269.97000000000003</v>
      </c>
      <c r="Q254" s="8">
        <f t="shared" ca="1" si="3"/>
        <v>46173.713128356481</v>
      </c>
      <c r="R254" s="7">
        <f ca="1">DATEDIF(data[[#This Row],[Customer_Since]],data[[#This Row],[Timestamp]],"M")</f>
        <v>42</v>
      </c>
      <c r="S254">
        <f>COUNTIF($H$5:H254,H254)</f>
        <v>34</v>
      </c>
      <c r="T254">
        <f>COUNTIF($L$5:L254,L254)</f>
        <v>54</v>
      </c>
      <c r="U254">
        <f>COUNTIF($M$5:M254,M254)</f>
        <v>59</v>
      </c>
      <c r="V254" s="14">
        <f>EOMONTH(data[[#This Row],[Date]],0)</f>
        <v>45657</v>
      </c>
    </row>
    <row r="255" spans="2:22" ht="15.75" customHeight="1" x14ac:dyDescent="0.3"/>
    <row r="256" spans="2:22"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sheetData>
  <phoneticPr fontId="11" type="noConversion"/>
  <pageMargins left="0.75" right="0.75" top="1" bottom="1" header="0" footer="0"/>
  <pageSetup orientation="landscape"/>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3" id="{2CD5BFBD-E47A-48DA-A81A-BB43B57D7642}">
            <x14:iconSet iconSet="3Arrows" custom="1">
              <x14:cfvo type="percent">
                <xm:f>0</xm:f>
              </x14:cfvo>
              <x14:cfvo type="percent">
                <xm:f>40</xm:f>
              </x14:cfvo>
              <x14:cfvo type="percent" gte="0">
                <xm:f>60</xm:f>
              </x14:cfvo>
              <x14:cfIcon iconSet="3Arrows" iconId="0"/>
              <x14:cfIcon iconSet="3Triangles" iconId="1"/>
              <x14:cfIcon iconSet="3Arrows" iconId="2"/>
            </x14:iconSet>
          </x14:cfRule>
          <xm:sqref>P5:P254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Project Instructions</vt:lpstr>
      <vt:lpstr>Dashboard</vt:lpstr>
      <vt:lpstr>Data_Analysis</vt:lpstr>
      <vt:lpstr>Raw Data</vt:lpstr>
      <vt:lpstr>Projected_revenue</vt:lpstr>
      <vt:lpstr>Unit_price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Chirag Modi</dc:creator>
  <cp:keywords/>
  <dc:description/>
  <cp:lastModifiedBy>Chirag Modi</cp:lastModifiedBy>
  <cp:revision/>
  <dcterms:created xsi:type="dcterms:W3CDTF">2026-05-25T07:40:26Z</dcterms:created>
  <dcterms:modified xsi:type="dcterms:W3CDTF">2026-05-31T11:36:58Z</dcterms:modified>
  <cp:category/>
  <cp:contentStatus/>
</cp:coreProperties>
</file>